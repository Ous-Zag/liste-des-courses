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e des courses" sheetId="1" state="visible" r:id="rId3"/>
    <sheet name="Plats" sheetId="2" state="visible" r:id="rId4"/>
    <sheet name="Ingrédients par plat" sheetId="3" state="visible" r:id="rId5"/>
    <sheet name="Fiche plat" sheetId="4" state="visible" r:id="rId6"/>
    <sheet name="Liste des ingrédients" sheetId="5" state="visible" r:id="rId7"/>
    <sheet name="Hygiène &amp; entretien" sheetId="6" state="visible" r:id="rId8"/>
    <sheet name="Options" sheetId="7" state="visible" r:id="rId9"/>
    <sheet name="Sources" sheetId="8" state="visible" r:id="rId10"/>
    <sheet name="Listes" sheetId="9" state="hidden" r:id="rId11"/>
  </sheets>
  <definedNames>
    <definedName function="false" hidden="true" localSheetId="2" name="_xlnm._FilterDatabase" vbProcedure="false">'Ingrédients par plat'!$A$4:$G$596</definedName>
    <definedName function="false" hidden="true" localSheetId="0" name="_xlnm._FilterDatabase" vbProcedure="false">'Liste des courses'!$A$8:$L$90</definedName>
    <definedName function="false" hidden="true" localSheetId="4" name="_xlnm._FilterDatabase" vbProcedure="false">'Liste des ingrédients'!$A$4:$J$98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<sst xmlns="http://schemas.openxmlformats.org/spreadsheetml/2006/main" count="1734" uniqueCount="499">
  <si>
    <t xml:space="preserve">Liste des courses – remplie automatiquement, ajustable à la main</t>
  </si>
  <si>
    <t xml:space="preserve">Les quantités calculées viennent des plats « Oui » et des articles d’hygiène « Oui ». Pour changer ce que vous achetez, tapez une quantité dans les colonnes jaunes « Qté à acheter (manuel) » : seul cet onglet change. Videz la cellule pour revenir au calcul automatique. Astuce : filtrez « Qté finale » pour masquer les lignes à 0.</t>
  </si>
  <si>
    <t xml:space="preserve">Total alimentation</t>
  </si>
  <si>
    <t xml:space="preserve">Total calculé (sans ajustements)</t>
  </si>
  <si>
    <t xml:space="preserve">Total hygiène &amp; entretien</t>
  </si>
  <si>
    <t xml:space="preserve">Écart dû aux ajustements</t>
  </si>
  <si>
    <t xml:space="preserve">TOTAL DES COURSES</t>
  </si>
  <si>
    <t xml:space="preserve">ALIMENTATION</t>
  </si>
  <si>
    <t xml:space="preserve">HYGIÈNE &amp; ENTRETIEN</t>
  </si>
  <si>
    <t xml:space="preserve">n°</t>
  </si>
  <si>
    <t xml:space="preserve">Ingrédient</t>
  </si>
  <si>
    <t xml:space="preserve">En tounsi</t>
  </si>
  <si>
    <t xml:space="preserve">Qté recettes</t>
  </si>
  <si>
    <t xml:space="preserve">Unité</t>
  </si>
  <si>
    <t xml:space="preserve">Qté calculée</t>
  </si>
  <si>
    <t xml:space="preserve">Qté à acheter (manuel)</t>
  </si>
  <si>
    <t xml:space="preserve">Qté finale</t>
  </si>
  <si>
    <t xml:space="preserve">Unité d’achat</t>
  </si>
  <si>
    <t xml:space="preserve">Prix unitaire (DT)</t>
  </si>
  <si>
    <t xml:space="preserve">Coût (DT)</t>
  </si>
  <si>
    <t xml:space="preserve">✓</t>
  </si>
  <si>
    <t xml:space="preserve">Produit</t>
  </si>
  <si>
    <t xml:space="preserve">Format</t>
  </si>
  <si>
    <t xml:space="preserve">Qté prévue</t>
  </si>
  <si>
    <t xml:space="preserve">Plats à préparer – coût automatique</t>
  </si>
  <si>
    <t xml:space="preserve">Mettez « Non » dans « Préparer ? » pour retirer un plat. Pour AJOUTER un plat : tapez le jour, le repas et le nom dans une ligne jaune en bas, puis ajoutez ses ingrédients dans l'onglet « Ingrédients par plat » (lignes vides en bas, choisissez le plat dans la liste).</t>
  </si>
  <si>
    <t xml:space="preserve">Jour</t>
  </si>
  <si>
    <t xml:space="preserve">Repas</t>
  </si>
  <si>
    <t xml:space="preserve">Plat</t>
  </si>
  <si>
    <t xml:space="preserve">Préparer ?</t>
  </si>
  <si>
    <t xml:space="preserve">Nb d'ingrédients</t>
  </si>
  <si>
    <t xml:space="preserve">Coût du plat (DT)</t>
  </si>
  <si>
    <t xml:space="preserve">Coût par personne (DT)</t>
  </si>
  <si>
    <t xml:space="preserve">Coût retenu (DT)</t>
  </si>
  <si>
    <t xml:space="preserve">Jour 1</t>
  </si>
  <si>
    <t xml:space="preserve">Déjeuner</t>
  </si>
  <si>
    <t xml:space="preserve">Couscous au poisson</t>
  </si>
  <si>
    <t xml:space="preserve">Oui</t>
  </si>
  <si>
    <t xml:space="preserve">Dîner</t>
  </si>
  <si>
    <t xml:space="preserve">Salade méchouia + thon, œufs + pain maison</t>
  </si>
  <si>
    <t xml:space="preserve">Jour 2</t>
  </si>
  <si>
    <t xml:space="preserve">Tajine tunisien au poulet</t>
  </si>
  <si>
    <t xml:space="preserve">Chorba frik</t>
  </si>
  <si>
    <t xml:space="preserve">Jour 3</t>
  </si>
  <si>
    <t xml:space="preserve">Marqa jelbana bel djedj</t>
  </si>
  <si>
    <t xml:space="preserve">Ojja merguez + pain</t>
  </si>
  <si>
    <t xml:space="preserve">Jour 4</t>
  </si>
  <si>
    <t xml:space="preserve">Spaghetti tunisien</t>
  </si>
  <si>
    <t xml:space="preserve">Bricks au thon + salade verte</t>
  </si>
  <si>
    <t xml:space="preserve">Jour 5</t>
  </si>
  <si>
    <t xml:space="preserve">Mloukhia</t>
  </si>
  <si>
    <t xml:space="preserve">Chorba langues d'oiseaux + salade tunisienne</t>
  </si>
  <si>
    <t xml:space="preserve">Jour 6</t>
  </si>
  <si>
    <t xml:space="preserve">Marqa loubya bel djedj</t>
  </si>
  <si>
    <t xml:space="preserve">Kefteji</t>
  </si>
  <si>
    <t xml:space="preserve">Jour 7</t>
  </si>
  <si>
    <t xml:space="preserve">M'hamsa</t>
  </si>
  <si>
    <t xml:space="preserve">Salade + escalope + frites</t>
  </si>
  <si>
    <t xml:space="preserve">Jour 8</t>
  </si>
  <si>
    <t xml:space="preserve">Riz djerbien</t>
  </si>
  <si>
    <t xml:space="preserve">Tajine sabanekh</t>
  </si>
  <si>
    <t xml:space="preserve">Jour 9</t>
  </si>
  <si>
    <t xml:space="preserve">Markat batata</t>
  </si>
  <si>
    <t xml:space="preserve">Salade + escalope</t>
  </si>
  <si>
    <t xml:space="preserve">Jour 10</t>
  </si>
  <si>
    <t xml:space="preserve">Jour 11</t>
  </si>
  <si>
    <t xml:space="preserve">Couscous aux légumes et pois chiches</t>
  </si>
  <si>
    <t xml:space="preserve">Chorba châer</t>
  </si>
  <si>
    <t xml:space="preserve">Jour 12</t>
  </si>
  <si>
    <t xml:space="preserve">Mosli de poulet</t>
  </si>
  <si>
    <t xml:space="preserve">Salade tunisienne + bricks aux œufs</t>
  </si>
  <si>
    <t xml:space="preserve">Jour 13</t>
  </si>
  <si>
    <t xml:space="preserve">Boulettes de poisson (hraimeh) + riz</t>
  </si>
  <si>
    <t xml:space="preserve">Ojja aux pommes de terre</t>
  </si>
  <si>
    <t xml:space="preserve">Jour 14</t>
  </si>
  <si>
    <t xml:space="preserve">Kefteji au four + foie</t>
  </si>
  <si>
    <t xml:space="preserve">Jour 1 à 14</t>
  </si>
  <si>
    <t xml:space="preserve">Dessert</t>
  </si>
  <si>
    <t xml:space="preserve">Fruits de saison (1 portion par personne et par jour)</t>
  </si>
  <si>
    <t xml:space="preserve">TOTAL DES PLATS RETENUS</t>
  </si>
  <si>
    <t xml:space="preserve">Coût moyen par personne et par jour (14 jours)</t>
  </si>
  <si>
    <t xml:space="preserve">Note : le coût des plats est calculé au prorata des quantités utilisées. Il est un peu inférieur au total de la liste de courses, qui compte des unités entières (paquets, bottes…) et les fruits.</t>
  </si>
  <si>
    <t xml:space="preserve">Ingrédients par plat – coût calculé automatiquement</t>
  </si>
  <si>
    <t xml:space="preserve">Choisissez l'ingrédient dans la liste déroulante (colonne B) et saisissez la quantité (colonne C, en bleu). L'unité, le prix (repris de l'onglet « Liste des ingrédients ») et le coût se calculent seuls. Lignes vides en bas pour ajouter des ingrédients.</t>
  </si>
  <si>
    <t xml:space="preserve">Quantité</t>
  </si>
  <si>
    <t xml:space="preserve">Prix par</t>
  </si>
  <si>
    <t xml:space="preserve">n° (fiche)</t>
  </si>
  <si>
    <t xml:space="preserve">Jour 1 Déjeuner – Couscous au poisson</t>
  </si>
  <si>
    <t xml:space="preserve">Couscous moyen</t>
  </si>
  <si>
    <t xml:space="preserve">Poisson à chair ferme (mérou, loup, dorade)</t>
  </si>
  <si>
    <t xml:space="preserve">Carottes</t>
  </si>
  <si>
    <t xml:space="preserve">Courgettes</t>
  </si>
  <si>
    <t xml:space="preserve">Pommes de terre</t>
  </si>
  <si>
    <t xml:space="preserve">Oignons</t>
  </si>
  <si>
    <t xml:space="preserve">Piments verts</t>
  </si>
  <si>
    <t xml:space="preserve">Concentré de tomate</t>
  </si>
  <si>
    <t xml:space="preserve">Harissa</t>
  </si>
  <si>
    <t xml:space="preserve">Ail</t>
  </si>
  <si>
    <t xml:space="preserve">Curcuma</t>
  </si>
  <si>
    <t xml:space="preserve">Carvi</t>
  </si>
  <si>
    <t xml:space="preserve">Cumin</t>
  </si>
  <si>
    <t xml:space="preserve">Huile d'olive</t>
  </si>
  <si>
    <t xml:space="preserve">Sel</t>
  </si>
  <si>
    <t xml:space="preserve">Poivre noir</t>
  </si>
  <si>
    <t xml:space="preserve">Citrons</t>
  </si>
  <si>
    <t xml:space="preserve">Jour 1 Dîner – Salade méchouia + thon, œufs + pain maison</t>
  </si>
  <si>
    <t xml:space="preserve">Poivrons</t>
  </si>
  <si>
    <t xml:space="preserve">Piments forts</t>
  </si>
  <si>
    <t xml:space="preserve">Tomates</t>
  </si>
  <si>
    <t xml:space="preserve">Thon en boîte (160 g)</t>
  </si>
  <si>
    <t xml:space="preserve">Œufs</t>
  </si>
  <si>
    <t xml:space="preserve">Farine ou semoule fine</t>
  </si>
  <si>
    <t xml:space="preserve">Levure boulangère</t>
  </si>
  <si>
    <t xml:space="preserve">Jour 2 Déjeuner – Tajine tunisien au poulet</t>
  </si>
  <si>
    <t xml:space="preserve">Blanc de poulet</t>
  </si>
  <si>
    <t xml:space="preserve">Fromage râpé</t>
  </si>
  <si>
    <t xml:space="preserve">Persil</t>
  </si>
  <si>
    <t xml:space="preserve">Tabel (ou tabel-karwiya)</t>
  </si>
  <si>
    <t xml:space="preserve">Huile de friture</t>
  </si>
  <si>
    <t xml:space="preserve">Jour 2 Dîner – Chorba frik</t>
  </si>
  <si>
    <t xml:space="preserve">Frik</t>
  </si>
  <si>
    <t xml:space="preserve">Agneau</t>
  </si>
  <si>
    <t xml:space="preserve">Pois chiches secs</t>
  </si>
  <si>
    <t xml:space="preserve">Céleri</t>
  </si>
  <si>
    <t xml:space="preserve">Piment doux / paprika</t>
  </si>
  <si>
    <t xml:space="preserve">Menthe séchée</t>
  </si>
  <si>
    <t xml:space="preserve">Jour 3 Déjeuner – Marqa jelbana bel djedj</t>
  </si>
  <si>
    <t xml:space="preserve">Cuisses de poulet</t>
  </si>
  <si>
    <t xml:space="preserve">Petits pois</t>
  </si>
  <si>
    <t xml:space="preserve">Jour 3 Dîner – Ojja merguez + pain</t>
  </si>
  <si>
    <t xml:space="preserve">Merguez</t>
  </si>
  <si>
    <t xml:space="preserve">Pain (baguettes ou tabouna)</t>
  </si>
  <si>
    <t xml:space="preserve">Jour 4 Déjeuner – Spaghetti tunisien</t>
  </si>
  <si>
    <t xml:space="preserve">Spaghetti</t>
  </si>
  <si>
    <t xml:space="preserve">Poulet pour spaghetti</t>
  </si>
  <si>
    <t xml:space="preserve">Jour 4 Dîner – Bricks au thon + salade verte</t>
  </si>
  <si>
    <t xml:space="preserve">Feuilles de malsouka</t>
  </si>
  <si>
    <t xml:space="preserve">Câpres (facultatif)</t>
  </si>
  <si>
    <t xml:space="preserve">Laitues</t>
  </si>
  <si>
    <t xml:space="preserve">Concombres</t>
  </si>
  <si>
    <t xml:space="preserve">Jour 5 Déjeuner – Mloukhia</t>
  </si>
  <si>
    <t xml:space="preserve">Poudre de mloukhia</t>
  </si>
  <si>
    <t xml:space="preserve">Bœuf à mijoter</t>
  </si>
  <si>
    <t xml:space="preserve">Laurier</t>
  </si>
  <si>
    <t xml:space="preserve">Jour 5 Dîner – Chorba langues d'oiseaux + salade tunisienne</t>
  </si>
  <si>
    <t xml:space="preserve">Langues d'oiseaux</t>
  </si>
  <si>
    <t xml:space="preserve">Morceaux de poulet (pilons, hauts de cuisse)</t>
  </si>
  <si>
    <t xml:space="preserve">Jour 6 Déjeuner – Marqa loubya bel djedj</t>
  </si>
  <si>
    <t xml:space="preserve">Haricots blancs secs</t>
  </si>
  <si>
    <t xml:space="preserve">Jour 6 Dîner – Kefteji</t>
  </si>
  <si>
    <t xml:space="preserve">Citrouille / potiron</t>
  </si>
  <si>
    <t xml:space="preserve">Jour 7 Déjeuner – M'hamsa</t>
  </si>
  <si>
    <t xml:space="preserve">Viande hachée</t>
  </si>
  <si>
    <t xml:space="preserve">Jour 7 Dîner – Salade + escalope + frites</t>
  </si>
  <si>
    <t xml:space="preserve">Escalopes de poulet</t>
  </si>
  <si>
    <t xml:space="preserve">Jour 8 Déjeuner – Riz djerbien</t>
  </si>
  <si>
    <t xml:space="preserve">Riz (ou bulgur)</t>
  </si>
  <si>
    <t xml:space="preserve">Foie</t>
  </si>
  <si>
    <t xml:space="preserve">Épinards (ou blettes)</t>
  </si>
  <si>
    <t xml:space="preserve">Jour 8 Dîner – Tajine sabanekh</t>
  </si>
  <si>
    <t xml:space="preserve">Chapelure</t>
  </si>
  <si>
    <t xml:space="preserve">Jour 9 Déjeuner – Markat batata</t>
  </si>
  <si>
    <t xml:space="preserve">Jour 9 Dîner – Salade + escalope</t>
  </si>
  <si>
    <t xml:space="preserve">Jour 10 Déjeuner – Spaghetti tunisien</t>
  </si>
  <si>
    <t xml:space="preserve">Jour 10 Dîner – Salade + escalope</t>
  </si>
  <si>
    <t xml:space="preserve">Jour 11 Déjeuner – Couscous aux légumes et pois chiches</t>
  </si>
  <si>
    <t xml:space="preserve">Jour 11 Dîner – Chorba châer</t>
  </si>
  <si>
    <t xml:space="preserve">Pâtes d'orge (châer)</t>
  </si>
  <si>
    <t xml:space="preserve">Jour 12 Déjeuner – Mosli de poulet</t>
  </si>
  <si>
    <t xml:space="preserve">Romarin ou thym</t>
  </si>
  <si>
    <t xml:space="preserve">Jour 12 Dîner – Salade tunisienne + bricks aux œufs</t>
  </si>
  <si>
    <t xml:space="preserve">Jour 13 Déjeuner – Boulettes de poisson (hraimeh) + riz</t>
  </si>
  <si>
    <t xml:space="preserve">Poisson blanc haché</t>
  </si>
  <si>
    <t xml:space="preserve">Jour 13 Dîner – Ojja aux pommes de terre</t>
  </si>
  <si>
    <t xml:space="preserve">Jour 14 Déjeuner – Kefteji au four + foie</t>
  </si>
  <si>
    <t xml:space="preserve">Jour 14 Dîner – Chorba châer</t>
  </si>
  <si>
    <t xml:space="preserve">Jour 1 à 14 Dessert – Fruits de saison (1 portion par personne et par jour)</t>
  </si>
  <si>
    <t xml:space="preserve">Pommes</t>
  </si>
  <si>
    <t xml:space="preserve">Grenades</t>
  </si>
  <si>
    <t xml:space="preserve">Raisin</t>
  </si>
  <si>
    <t xml:space="preserve">Bananes</t>
  </si>
  <si>
    <t xml:space="preserve">Dattes (Deglet Nour, branchées)</t>
  </si>
  <si>
    <t xml:space="preserve">Total</t>
  </si>
  <si>
    <t xml:space="preserve">Fiche plat – choisissez un plat</t>
  </si>
  <si>
    <t xml:space="preserve">Plat :</t>
  </si>
  <si>
    <t xml:space="preserve">(cliquez sur la cellule jaune pour changer de plat)</t>
  </si>
  <si>
    <t xml:space="preserve">Coût total du plat</t>
  </si>
  <si>
    <t xml:space="preserve">Coût par personne (4 pers.)</t>
  </si>
  <si>
    <t xml:space="preserve">Liste des ingrédients – Menu tunisien 14 jours (4 personnes)</t>
  </si>
  <si>
    <t xml:space="preserve">Prix en dinars tunisiens (DT), octobre 2026. Texte bleu = valeurs à modifier (quantité achetée, prix). Les coûts se recalculent automatiquement. * = prix estimé, à vérifier en magasin. Nouvel ingrédient : remplissez une ligne de « Autres ingrédients » (nom, quantité, unité kg / L / pièce, prix).</t>
  </si>
  <si>
    <t xml:space="preserve">Catégorie</t>
  </si>
  <si>
    <t xml:space="preserve">Quantité (recettes)</t>
  </si>
  <si>
    <t xml:space="preserve">Jours</t>
  </si>
  <si>
    <t xml:space="preserve">Qté à acheter</t>
  </si>
  <si>
    <t xml:space="preserve">Estimation</t>
  </si>
  <si>
    <t xml:space="preserve">Viandes, poissons et œufs</t>
  </si>
  <si>
    <t xml:space="preserve">إسكالوب دجاج (escalope djej)</t>
  </si>
  <si>
    <t xml:space="preserve">1,8 kg</t>
  </si>
  <si>
    <t xml:space="preserve">7, 9, 10</t>
  </si>
  <si>
    <t xml:space="preserve">kg</t>
  </si>
  <si>
    <t xml:space="preserve">فخاذ دجاج (fkhadh djej)</t>
  </si>
  <si>
    <t xml:space="preserve">3,2 kg (12 cuisses)</t>
  </si>
  <si>
    <t xml:space="preserve">3, 6, 12</t>
  </si>
  <si>
    <t xml:space="preserve">طرف دجاج (traf djej)</t>
  </si>
  <si>
    <t xml:space="preserve">1,4 kg</t>
  </si>
  <si>
    <t xml:space="preserve">5, 11, 14</t>
  </si>
  <si>
    <t xml:space="preserve">صدر دجاج (sedr djej)</t>
  </si>
  <si>
    <t xml:space="preserve">650 g</t>
  </si>
  <si>
    <t xml:space="preserve">2, 8</t>
  </si>
  <si>
    <t xml:space="preserve">دجاج (djej)</t>
  </si>
  <si>
    <t xml:space="preserve">1 kg</t>
  </si>
  <si>
    <t xml:space="preserve">4, 10</t>
  </si>
  <si>
    <t xml:space="preserve">لحم بقري (lham bagri)</t>
  </si>
  <si>
    <t xml:space="preserve">1,3 kg</t>
  </si>
  <si>
    <t xml:space="preserve">5, 9</t>
  </si>
  <si>
    <t xml:space="preserve">لحم علوش (lham 3allouch)</t>
  </si>
  <si>
    <t xml:space="preserve">400 g</t>
  </si>
  <si>
    <t xml:space="preserve">2</t>
  </si>
  <si>
    <t xml:space="preserve">لحم مرحي (lham mor7i)</t>
  </si>
  <si>
    <t xml:space="preserve">300 g</t>
  </si>
  <si>
    <t xml:space="preserve">7</t>
  </si>
  <si>
    <t xml:space="preserve">*</t>
  </si>
  <si>
    <t xml:space="preserve">كبدة (kebda)</t>
  </si>
  <si>
    <t xml:space="preserve">700 g</t>
  </si>
  <si>
    <t xml:space="preserve">8, 14</t>
  </si>
  <si>
    <t xml:space="preserve">مرقاز (mergaz)</t>
  </si>
  <si>
    <t xml:space="preserve">500 g</t>
  </si>
  <si>
    <t xml:space="preserve">3</t>
  </si>
  <si>
    <t xml:space="preserve">حوت: مناني، قاروص، وراطة</t>
  </si>
  <si>
    <t xml:space="preserve">1</t>
  </si>
  <si>
    <t xml:space="preserve">حوت أبيض مرحي (7out abyedh mor7i)</t>
  </si>
  <si>
    <t xml:space="preserve">600 g</t>
  </si>
  <si>
    <t xml:space="preserve">13</t>
  </si>
  <si>
    <t xml:space="preserve">تن (ton)</t>
  </si>
  <si>
    <t xml:space="preserve">960 g (6 boîtes)</t>
  </si>
  <si>
    <t xml:space="preserve">1, 4, 5, 12, 14</t>
  </si>
  <si>
    <t xml:space="preserve">boîte</t>
  </si>
  <si>
    <t xml:space="preserve">عظم (3dham)</t>
  </si>
  <si>
    <t xml:space="preserve">3,3 kg (55 œufs)</t>
  </si>
  <si>
    <t xml:space="preserve">1, 2, 3, 4, 5, 6, 8, 12, 13, 14</t>
  </si>
  <si>
    <t xml:space="preserve">œuf</t>
  </si>
  <si>
    <t xml:space="preserve">فرماج مرحي (fromej mra7i)</t>
  </si>
  <si>
    <t xml:space="preserve">360 g</t>
  </si>
  <si>
    <t xml:space="preserve">2, 8, 12</t>
  </si>
  <si>
    <t xml:space="preserve">Sous-total Viandes, poissons et œufs</t>
  </si>
  <si>
    <t xml:space="preserve">Légumes, herbes et fruits</t>
  </si>
  <si>
    <t xml:space="preserve">بطاطا (batata)</t>
  </si>
  <si>
    <t xml:space="preserve">5,7 kg</t>
  </si>
  <si>
    <t xml:space="preserve">1, 2, 6, 7, 9, 11, 12, 13, 14</t>
  </si>
  <si>
    <t xml:space="preserve">طماطم (tmatem)</t>
  </si>
  <si>
    <t xml:space="preserve">4,7 kg (≈35)</t>
  </si>
  <si>
    <t xml:space="preserve">1, 3, 4, 5, 6, 7, 9, 10, 12, 13, 14</t>
  </si>
  <si>
    <t xml:space="preserve">بصل (bsal)</t>
  </si>
  <si>
    <t xml:space="preserve">2,6 kg (26)</t>
  </si>
  <si>
    <t xml:space="preserve">tous sauf 13</t>
  </si>
  <si>
    <t xml:space="preserve">ثوم (thoum)</t>
  </si>
  <si>
    <t xml:space="preserve">370 g (74 gousses)</t>
  </si>
  <si>
    <t xml:space="preserve">tous</t>
  </si>
  <si>
    <t xml:space="preserve">سفنارية (sfenarya)</t>
  </si>
  <si>
    <t xml:space="preserve">1,5 kg (15)</t>
  </si>
  <si>
    <t xml:space="preserve">1, 7, 8, 11, 14</t>
  </si>
  <si>
    <t xml:space="preserve">قرع (gar3)</t>
  </si>
  <si>
    <t xml:space="preserve">1,8 kg (12)</t>
  </si>
  <si>
    <t xml:space="preserve">1, 6, 7, 11, 14</t>
  </si>
  <si>
    <t xml:space="preserve">فلفل حلو (felfel 7lou)</t>
  </si>
  <si>
    <t xml:space="preserve">1,6 kg (16)</t>
  </si>
  <si>
    <t xml:space="preserve">1, 3, 6, 13, 14</t>
  </si>
  <si>
    <t xml:space="preserve">فلفل أخضر (felfel akhdhar)</t>
  </si>
  <si>
    <t xml:space="preserve">500 g (16)</t>
  </si>
  <si>
    <t xml:space="preserve">1, 4, 9, 10, 11, 12</t>
  </si>
  <si>
    <t xml:space="preserve">فلفل حار (felfel 7arr)</t>
  </si>
  <si>
    <t xml:space="preserve">80 g (5)</t>
  </si>
  <si>
    <t xml:space="preserve">1, 3, 13</t>
  </si>
  <si>
    <t xml:space="preserve">كابوية (kabouya)</t>
  </si>
  <si>
    <t xml:space="preserve">900 g</t>
  </si>
  <si>
    <t xml:space="preserve">6, 11, 14</t>
  </si>
  <si>
    <t xml:space="preserve">فقوس (fagous)</t>
  </si>
  <si>
    <t xml:space="preserve">1,6 kg (8)</t>
  </si>
  <si>
    <t xml:space="preserve">4, 5, 7, 9, 10, 12</t>
  </si>
  <si>
    <t xml:space="preserve">خص (khass)</t>
  </si>
  <si>
    <t xml:space="preserve">1,6 kg (4)</t>
  </si>
  <si>
    <t xml:space="preserve">4, 7, 9, 10</t>
  </si>
  <si>
    <t xml:space="preserve">pièce</t>
  </si>
  <si>
    <t xml:space="preserve">سبناخ (sbenekh) / سلق (selg)</t>
  </si>
  <si>
    <t xml:space="preserve">8</t>
  </si>
  <si>
    <t xml:space="preserve">جلبانة (jelbana)</t>
  </si>
  <si>
    <t xml:space="preserve">3, 7, 8</t>
  </si>
  <si>
    <t xml:space="preserve">كرافس (krafes)</t>
  </si>
  <si>
    <t xml:space="preserve">200 g (4 branches)</t>
  </si>
  <si>
    <t xml:space="preserve">2, 5, 11, 14</t>
  </si>
  <si>
    <t xml:space="preserve">botte</t>
  </si>
  <si>
    <t xml:space="preserve">معدنوس (ma3dnous)</t>
  </si>
  <si>
    <t xml:space="preserve">300 g (5 bottes)</t>
  </si>
  <si>
    <t xml:space="preserve">2 à 14</t>
  </si>
  <si>
    <t xml:space="preserve">إكليل (iklil) / زعتر (za3tar)</t>
  </si>
  <si>
    <t xml:space="preserve">5 g (2 brins)</t>
  </si>
  <si>
    <t xml:space="preserve">12</t>
  </si>
  <si>
    <t xml:space="preserve">قارص (gares)</t>
  </si>
  <si>
    <t xml:space="preserve">1, 2, 4, 5, 7, 9, 10, 11, 12, 13, 14</t>
  </si>
  <si>
    <t xml:space="preserve">Sous-total Légumes, herbes et fruits</t>
  </si>
  <si>
    <t xml:space="preserve">Fruits (1 portion par personne et par jour)</t>
  </si>
  <si>
    <t xml:space="preserve">تفاح (teffe7)</t>
  </si>
  <si>
    <t xml:space="preserve">3 kg (≈20 pommes)</t>
  </si>
  <si>
    <t xml:space="preserve">dessert, collation</t>
  </si>
  <si>
    <t xml:space="preserve">رمان (rommen)</t>
  </si>
  <si>
    <t xml:space="preserve">2 kg (≈6 grenades)</t>
  </si>
  <si>
    <t xml:space="preserve">عنب (3neb)</t>
  </si>
  <si>
    <t xml:space="preserve">2 kg</t>
  </si>
  <si>
    <t xml:space="preserve">بنان (banan)</t>
  </si>
  <si>
    <t xml:space="preserve">2 kg (≈12 bananes)</t>
  </si>
  <si>
    <t xml:space="preserve">دقلة (deglet nour)</t>
  </si>
  <si>
    <t xml:space="preserve">Sous-total Fruits (1 portion par personne et par jour)</t>
  </si>
  <si>
    <t xml:space="preserve">Féculents, pâtes et légumes secs</t>
  </si>
  <si>
    <t xml:space="preserve">كسكسي (kosksi)</t>
  </si>
  <si>
    <t xml:space="preserve">1, 11</t>
  </si>
  <si>
    <t xml:space="preserve">مقرونة سباقتي (makrouna spaghetti)</t>
  </si>
  <si>
    <t xml:space="preserve">800 g</t>
  </si>
  <si>
    <t xml:space="preserve">روز (rouz) / برغل (borghol)</t>
  </si>
  <si>
    <t xml:space="preserve">8, 13</t>
  </si>
  <si>
    <t xml:space="preserve">شعير (ch3ir)</t>
  </si>
  <si>
    <t xml:space="preserve">11, 14</t>
  </si>
  <si>
    <t xml:space="preserve">محمصة (m7amsa)</t>
  </si>
  <si>
    <t xml:space="preserve">250 g</t>
  </si>
  <si>
    <t xml:space="preserve">فريك (frik)</t>
  </si>
  <si>
    <t xml:space="preserve">150 g</t>
  </si>
  <si>
    <t xml:space="preserve">لسان عصفور (lsan 3asfour)</t>
  </si>
  <si>
    <t xml:space="preserve">120 g</t>
  </si>
  <si>
    <t xml:space="preserve">5</t>
  </si>
  <si>
    <t xml:space="preserve">حمص (7ommos)</t>
  </si>
  <si>
    <t xml:space="preserve">350 g</t>
  </si>
  <si>
    <t xml:space="preserve">2, 7, 8, 11</t>
  </si>
  <si>
    <t xml:space="preserve">لوبيا (loubya)</t>
  </si>
  <si>
    <t xml:space="preserve">6</t>
  </si>
  <si>
    <t xml:space="preserve">ملسوقة (malsouka)</t>
  </si>
  <si>
    <t xml:space="preserve">300 g (12 à 16 feuilles)</t>
  </si>
  <si>
    <t xml:space="preserve">4, 12</t>
  </si>
  <si>
    <t xml:space="preserve">paquet</t>
  </si>
  <si>
    <t xml:space="preserve">فارينة (farina) / سميد رقيق (smid rgig)</t>
  </si>
  <si>
    <t xml:space="preserve">خميرة (khmira)</t>
  </si>
  <si>
    <t xml:space="preserve">7 g</t>
  </si>
  <si>
    <t xml:space="preserve">sachet</t>
  </si>
  <si>
    <t xml:space="preserve">شابلور (chapelure)</t>
  </si>
  <si>
    <t xml:space="preserve">60 g</t>
  </si>
  <si>
    <t xml:space="preserve">خبز باقات / طابونة</t>
  </si>
  <si>
    <t xml:space="preserve">1 kg (4 baguettes)</t>
  </si>
  <si>
    <t xml:space="preserve">3, 5</t>
  </si>
  <si>
    <t xml:space="preserve">baguette</t>
  </si>
  <si>
    <t xml:space="preserve">ملوخية (mloukhia)</t>
  </si>
  <si>
    <t xml:space="preserve">100 g</t>
  </si>
  <si>
    <t xml:space="preserve">Sous-total Féculents, pâtes et légumes secs</t>
  </si>
  <si>
    <t xml:space="preserve">Huiles, condiments et épices</t>
  </si>
  <si>
    <t xml:space="preserve">زيت زيتون (zit zitoun)</t>
  </si>
  <si>
    <t xml:space="preserve">2,3 L</t>
  </si>
  <si>
    <t xml:space="preserve">L</t>
  </si>
  <si>
    <t xml:space="preserve">زيت نباتي (zit nabeti)</t>
  </si>
  <si>
    <t xml:space="preserve">3,2 L</t>
  </si>
  <si>
    <t xml:space="preserve">2, 4, 6, 7, 12, 13</t>
  </si>
  <si>
    <t xml:space="preserve">طماطم معجون (tmatem m3ajna)</t>
  </si>
  <si>
    <t xml:space="preserve">tous sauf 12</t>
  </si>
  <si>
    <t xml:space="preserve">هريسة (harissa)</t>
  </si>
  <si>
    <t xml:space="preserve">175 g</t>
  </si>
  <si>
    <t xml:space="preserve">1, 3 à 11, 13</t>
  </si>
  <si>
    <t xml:space="preserve">تابل (tabel)</t>
  </si>
  <si>
    <t xml:space="preserve">45 g</t>
  </si>
  <si>
    <t xml:space="preserve">عقدة صفراء (3agda safra)</t>
  </si>
  <si>
    <t xml:space="preserve">30 g</t>
  </si>
  <si>
    <t xml:space="preserve">1, 2, 3, 5, 7, 8, 11, 12, 14</t>
  </si>
  <si>
    <t xml:space="preserve">فلفل زينة (felfel zina)</t>
  </si>
  <si>
    <t xml:space="preserve">25 g</t>
  </si>
  <si>
    <t xml:space="preserve">2, 4, 6 à 10, 13, 14</t>
  </si>
  <si>
    <t xml:space="preserve">كروية (karwiya)</t>
  </si>
  <si>
    <t xml:space="preserve">20 g</t>
  </si>
  <si>
    <t xml:space="preserve">1, 2, 5, 6, 8, 9, 11, 13</t>
  </si>
  <si>
    <t xml:space="preserve">نعناع شايح (na3na3 cheye7)</t>
  </si>
  <si>
    <t xml:space="preserve">10 g</t>
  </si>
  <si>
    <t xml:space="preserve">2, 5, 8, 11, 12, 14</t>
  </si>
  <si>
    <t xml:space="preserve">كمون (kammoun)</t>
  </si>
  <si>
    <t xml:space="preserve">6 g</t>
  </si>
  <si>
    <t xml:space="preserve">1, 13</t>
  </si>
  <si>
    <t xml:space="preserve">ورق رند (wra9 rand)</t>
  </si>
  <si>
    <t xml:space="preserve">2 g (7 feuilles)</t>
  </si>
  <si>
    <t xml:space="preserve">5, 6, 9</t>
  </si>
  <si>
    <t xml:space="preserve">forfait</t>
  </si>
  <si>
    <t xml:space="preserve">كبار (kabbar)</t>
  </si>
  <si>
    <t xml:space="preserve">4</t>
  </si>
  <si>
    <t xml:space="preserve">ملح (mel7)</t>
  </si>
  <si>
    <t xml:space="preserve">فلفل أكحل (felfel ak7el)</t>
  </si>
  <si>
    <t xml:space="preserve">Sous-total Huiles, condiments et épices</t>
  </si>
  <si>
    <t xml:space="preserve">Autres ingrédients (à compléter pour un nouveau plat)</t>
  </si>
  <si>
    <t xml:space="preserve">Sous-total Autres ingrédients (à compléter pour un nouveau plat)</t>
  </si>
  <si>
    <t xml:space="preserve">TOTAL GÉNÉRAL</t>
  </si>
  <si>
    <t xml:space="preserve">Coût par personne et par jour (4 pers. × 14 jours)</t>
  </si>
  <si>
    <t xml:space="preserve">Hypothèses du total : poulet dans les spaghetti, foie au Jour 14, œufs au Jour 6, pas d'agneau au Jour 11. Voir l'onglet « Options ».</t>
  </si>
  <si>
    <t xml:space="preserve">Produits d'hygiène et d'entretien – 4 personnes, 14 jours</t>
  </si>
  <si>
    <t xml:space="preserve">Prix Géant Drive Tunis City (octobre 2026). Colonne « Acheter ? » : Oui ou Non. Pour ajouter un produit, remplissez une ligne jaune « Autres produits ». Les articles retenus vont automatiquement dans l’onglet « Liste des courses ». * = prix estimé.</t>
  </si>
  <si>
    <t xml:space="preserve">Acheter ?</t>
  </si>
  <si>
    <t xml:space="preserve">Qté</t>
  </si>
  <si>
    <t xml:space="preserve">Hygiène corporelle</t>
  </si>
  <si>
    <t xml:space="preserve">Savon de toilette</t>
  </si>
  <si>
    <t xml:space="preserve">صابون (saboun)</t>
  </si>
  <si>
    <t xml:space="preserve">pain de 100 g</t>
  </si>
  <si>
    <t xml:space="preserve">Savon liquide pour les mains</t>
  </si>
  <si>
    <t xml:space="preserve">صابون سائل (saboun sayel)</t>
  </si>
  <si>
    <t xml:space="preserve">flacon 1 L</t>
  </si>
  <si>
    <t xml:space="preserve">Shampooing 2 en 1</t>
  </si>
  <si>
    <t xml:space="preserve">شامبوان (shampoing)</t>
  </si>
  <si>
    <t xml:space="preserve">flacon 400 ml</t>
  </si>
  <si>
    <t xml:space="preserve">Dentifrice</t>
  </si>
  <si>
    <t xml:space="preserve">معجون سنين (ma3joun snin)</t>
  </si>
  <si>
    <t xml:space="preserve">tube 75 ml</t>
  </si>
  <si>
    <t xml:space="preserve">Brosses à dents</t>
  </si>
  <si>
    <t xml:space="preserve">فرشة سنين (forchet snin)</t>
  </si>
  <si>
    <t xml:space="preserve">Papier hygiénique</t>
  </si>
  <si>
    <t xml:space="preserve">كاغط توالات (kaghet twalet)</t>
  </si>
  <si>
    <t xml:space="preserve">paquet de 12 rouleaux</t>
  </si>
  <si>
    <t xml:space="preserve">Déodorant</t>
  </si>
  <si>
    <t xml:space="preserve">ديودوران (déodorant)</t>
  </si>
  <si>
    <t xml:space="preserve">flacon 150 ml</t>
  </si>
  <si>
    <t xml:space="preserve">Serviettes hygiéniques (selon besoin)</t>
  </si>
  <si>
    <t xml:space="preserve">فوطة صحية (fouta si77iya)</t>
  </si>
  <si>
    <t xml:space="preserve">Gel antibactérien</t>
  </si>
  <si>
    <t xml:space="preserve">جال معقم (gel m3aqqem)</t>
  </si>
  <si>
    <t xml:space="preserve">flacon 125 ml</t>
  </si>
  <si>
    <t xml:space="preserve">Sous-total Hygiène corporelle</t>
  </si>
  <si>
    <t xml:space="preserve">Entretien de la maison</t>
  </si>
  <si>
    <t xml:space="preserve">Liquide vaisselle</t>
  </si>
  <si>
    <t xml:space="preserve">صابون ماعون (saboun ma3oun)</t>
  </si>
  <si>
    <t xml:space="preserve">flacon 960 ml</t>
  </si>
  <si>
    <t xml:space="preserve">Eau de javel</t>
  </si>
  <si>
    <t xml:space="preserve">جافال (javel)</t>
  </si>
  <si>
    <t xml:space="preserve">bidon 3 L</t>
  </si>
  <si>
    <t xml:space="preserve">Nettoyant sol</t>
  </si>
  <si>
    <t xml:space="preserve">صابون القاعة (saboun el gaa3a)</t>
  </si>
  <si>
    <t xml:space="preserve">Lessive en poudre (machine)</t>
  </si>
  <si>
    <t xml:space="preserve">صابون ماكينة (saboun makina)</t>
  </si>
  <si>
    <t xml:space="preserve">Éponges</t>
  </si>
  <si>
    <t xml:space="preserve">سفنجة (sfenja)</t>
  </si>
  <si>
    <t xml:space="preserve">Sacs poubelle 70 L</t>
  </si>
  <si>
    <t xml:space="preserve">ساشيات زبلة (sachiet zebla)</t>
  </si>
  <si>
    <t xml:space="preserve">rouleau de 10</t>
  </si>
  <si>
    <t xml:space="preserve">Serviettes de table</t>
  </si>
  <si>
    <t xml:space="preserve">محارم (m7arem)</t>
  </si>
  <si>
    <t xml:space="preserve">paquet de 90</t>
  </si>
  <si>
    <t xml:space="preserve">Sous-total Entretien de la maison</t>
  </si>
  <si>
    <t xml:space="preserve">Autres produits (à compléter)</t>
  </si>
  <si>
    <t xml:space="preserve">Sous-total Autres produits (à compléter)</t>
  </si>
  <si>
    <t xml:space="preserve">TOTAL HYGIÈNE &amp; ENTRETIEN (articles à acheter)</t>
  </si>
  <si>
    <t xml:space="preserve">Options (non incluses dans le total)</t>
  </si>
  <si>
    <t xml:space="preserve">Option</t>
  </si>
  <si>
    <t xml:space="preserve">Ajouter</t>
  </si>
  <si>
    <t xml:space="preserve">Prix (DT)</t>
  </si>
  <si>
    <t xml:space="preserve">Retirer</t>
  </si>
  <si>
    <t xml:space="preserve">Écart (DT)</t>
  </si>
  <si>
    <t xml:space="preserve">Agneau au couscous du Jour 11</t>
  </si>
  <si>
    <t xml:space="preserve">—</t>
  </si>
  <si>
    <t xml:space="preserve">Merguez au lieu du foie au Jour 14</t>
  </si>
  <si>
    <t xml:space="preserve">Thon au lieu des œufs au Jour 6</t>
  </si>
  <si>
    <t xml:space="preserve">Thon (boîte)</t>
  </si>
  <si>
    <t xml:space="preserve">Bœuf au lieu du poulet (spaghetti)</t>
  </si>
  <si>
    <t xml:space="preserve">Bœuf</t>
  </si>
  <si>
    <t xml:space="preserve">Poulet</t>
  </si>
  <si>
    <t xml:space="preserve">Escalopes panées (Jours 7, 9, 10)</t>
  </si>
  <si>
    <t xml:space="preserve">Farine + chapelure (≈450 g) + 6 œufs</t>
  </si>
  <si>
    <t xml:space="preserve">Prix « Escalopes panées » estimé : farine 150 g, chapelure 300 g, 6 œufs.</t>
  </si>
  <si>
    <t xml:space="preserve">Sources des prix (sans astérisque)</t>
  </si>
  <si>
    <t xml:space="preserve">Donnée</t>
  </si>
  <si>
    <t xml:space="preserve">Source</t>
  </si>
  <si>
    <t xml:space="preserve">Lien</t>
  </si>
  <si>
    <t xml:space="preserve">Poulet prêt à cuire et plafond escalope, 29/09/2026</t>
  </si>
  <si>
    <t xml:space="preserve">Directinfo</t>
  </si>
  <si>
    <t xml:space="preserve">https://directinfo.webmanagercenter.com/2026/09/29/poulet-escalope-oeufs-pas-de-penurie-annoncee-en-tunisie/</t>
  </si>
  <si>
    <t xml:space="preserve">Cuisse 14,9 DT, escalope 19,4 DT, dorade 22 DT – Sfax, 15/09/2026</t>
  </si>
  <si>
    <t xml:space="preserve">Tunisie Numérique</t>
  </si>
  <si>
    <t xml:space="preserve">https://www.tunisienumerique.com/prix-alimentaires-a-sfax-le-point-sur-les-marches-ce-mardi-photosvideo/</t>
  </si>
  <si>
    <t xml:space="preserve">Bœuf 45–50 DT, agneau ≈60 DT, 14/10/2026</t>
  </si>
  <si>
    <t xml:space="preserve">Business News</t>
  </si>
  <si>
    <t xml:space="preserve">https://businessnews.com.tn/2026/10/14/viande-rouge-le-kilo-dagneau-a-80-dinars-le-spectre-dune-nouvelle-flambee-avant-ramadan/1422974/</t>
  </si>
  <si>
    <t xml:space="preserve">Légumes au Marché Central de Tunis, août 2026</t>
  </si>
  <si>
    <t xml:space="preserve">allAfrica / La Presse</t>
  </si>
  <si>
    <t xml:space="preserve">https://fr.allafrica.com/stories/202608200427.html</t>
  </si>
  <si>
    <t xml:space="preserve">Légumes frais (épinards, piment fort)</t>
  </si>
  <si>
    <t xml:space="preserve">Géant Drive Tunis City</t>
  </si>
  <si>
    <t xml:space="preserve">https://www.geantdrive.tn/tunis-city/162-legumes-frais</t>
  </si>
  <si>
    <t xml:space="preserve">Huile d'olive 1 L PET 12,5 DT</t>
  </si>
  <si>
    <t xml:space="preserve">Uthina</t>
  </si>
  <si>
    <t xml:space="preserve">https://www.uthina.com.tn/categorie-produit/huile-dolive/</t>
  </si>
  <si>
    <t xml:space="preserve">Œufs ≈1200 millimes les 4</t>
  </si>
  <si>
    <t xml:space="preserve">La Presse</t>
  </si>
  <si>
    <t xml:space="preserve">https://www.lapresse.tn/?p=255326</t>
  </si>
  <si>
    <t xml:space="preserve">Pommes, grenades 3,99 DT/kg, dattes branchées 5,17 DT/kg</t>
  </si>
  <si>
    <t xml:space="preserve">https://www.geantdrive.tn/tunis-city/165-fruits</t>
  </si>
  <si>
    <t xml:space="preserve">Raisin 4,9 DT/kg – Sfax, 15/09/2026</t>
  </si>
  <si>
    <t xml:space="preserve">Baisse annoncée de 1 DT/kg sur pommes et poires, 22/10/2026</t>
  </si>
  <si>
    <t xml:space="preserve">https://directinfo.webmanagercenter.com/2026/10/22/tunisie-une-baisse-annoncee-des-prix-de-la-volaille-des-fruits-et-des-poissons</t>
  </si>
  <si>
    <t xml:space="preserve">Petits pois 3,4 DT – Sfax, 12/05/2026</t>
  </si>
  <si>
    <t xml:space="preserve">https://www.tunisienumerique.com/alimentation-a-sfax-quels-sont-les-prix-du-jour-au-marche-photosvideo-28/</t>
  </si>
  <si>
    <t xml:space="preserve">Hygiène et entretien (savon, shampooing, dentifrice, papier, javel, vaisselle, lessive…)</t>
  </si>
  <si>
    <t xml:space="preserve">https://www.geantdrive.tn/tunis-city/340-droguerie-et-entretien</t>
  </si>
  <si>
    <t xml:space="preserve">Non</t>
  </si>
</sst>
</file>

<file path=xl/styles.xml><?xml version="1.0" encoding="utf-8"?>
<styleSheet xmlns="http://schemas.openxmlformats.org/spreadsheetml/2006/main">
  <numFmts count="8">
    <numFmt numFmtId="164" formatCode="General"/>
    <numFmt numFmtId="165" formatCode="0.000&quot; DT&quot;"/>
    <numFmt numFmtId="166" formatCode="0.000&quot; DT&quot;;\-0.000&quot; DT&quot;"/>
    <numFmt numFmtId="167" formatCode="General"/>
    <numFmt numFmtId="168" formatCode="0.###"/>
    <numFmt numFmtId="169" formatCode="0.000;\-0.000;&quot;&quot;"/>
    <numFmt numFmtId="170" formatCode="0.000"/>
    <numFmt numFmtId="171" formatCode="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1"/>
      <name val="Arial"/>
      <family val="0"/>
      <charset val="1"/>
    </font>
    <font>
      <b val="true"/>
      <sz val="12"/>
      <name val="Arial"/>
      <family val="0"/>
      <charset val="1"/>
    </font>
    <font>
      <b val="true"/>
      <sz val="11"/>
      <color rgb="FFFFFFFF"/>
      <name val="Arial"/>
      <family val="0"/>
      <charset val="1"/>
    </font>
    <font>
      <sz val="11"/>
      <name val="Arial"/>
      <family val="0"/>
      <charset val="1"/>
    </font>
    <font>
      <b val="true"/>
      <sz val="11"/>
      <color rgb="FF0000FF"/>
      <name val="Arial"/>
      <family val="0"/>
      <charset val="1"/>
    </font>
    <font>
      <sz val="11"/>
      <color rgb="FF0000FF"/>
      <name val="Arial"/>
      <family val="0"/>
      <charset val="1"/>
    </font>
    <font>
      <b val="true"/>
      <sz val="12"/>
      <color rgb="FF0000FF"/>
      <name val="Arial"/>
      <family val="0"/>
      <charset val="1"/>
    </font>
    <font>
      <b val="true"/>
      <sz val="13"/>
      <name val="Arial"/>
      <family val="0"/>
      <charset val="1"/>
    </font>
    <font>
      <u val="single"/>
      <sz val="11"/>
      <color rgb="FF0563C1"/>
      <name val="Arial"/>
      <family val="0"/>
      <charset val="1"/>
    </font>
  </fonts>
  <fills count="12">
    <fill>
      <patternFill patternType="none"/>
    </fill>
    <fill>
      <patternFill patternType="gray125"/>
    </fill>
    <fill>
      <patternFill patternType="solid">
        <fgColor rgb="FFFFE699"/>
        <bgColor rgb="FFFFF2CC"/>
      </patternFill>
    </fill>
    <fill>
      <patternFill patternType="solid">
        <fgColor rgb="FF375623"/>
        <bgColor rgb="FF333300"/>
      </patternFill>
    </fill>
    <fill>
      <patternFill patternType="solid">
        <fgColor rgb="FF7030A0"/>
        <bgColor rgb="FF993366"/>
      </patternFill>
    </fill>
    <fill>
      <patternFill patternType="solid">
        <fgColor rgb="FF1F4E78"/>
        <bgColor rgb="FF003366"/>
      </patternFill>
    </fill>
    <fill>
      <patternFill patternType="solid">
        <fgColor rgb="FFBF8F00"/>
        <bgColor rgb="FF808000"/>
      </patternFill>
    </fill>
    <fill>
      <patternFill patternType="solid">
        <fgColor rgb="FFFFF2CC"/>
        <bgColor rgb="FFF2F2F2"/>
      </patternFill>
    </fill>
    <fill>
      <patternFill patternType="solid">
        <fgColor rgb="FFF7F9FC"/>
        <bgColor rgb="FFFFFFFF"/>
      </patternFill>
    </fill>
    <fill>
      <patternFill patternType="solid">
        <fgColor rgb="FFFFFF00"/>
        <bgColor rgb="FFFFFF00"/>
      </patternFill>
    </fill>
    <fill>
      <patternFill patternType="solid">
        <fgColor rgb="FFDDEBF7"/>
        <bgColor rgb="FFF2F2F2"/>
      </patternFill>
    </fill>
    <fill>
      <patternFill patternType="solid">
        <fgColor rgb="FFF2F2F2"/>
        <bgColor rgb="FFF7F9F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5" fontId="7" fillId="2" borderId="1"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true" applyAlignment="true" applyProtection="false">
      <alignment horizontal="center" vertical="bottom" textRotation="0" wrapText="false" indent="0" shrinkToFit="false"/>
      <protection locked="true" hidden="false"/>
    </xf>
    <xf numFmtId="164" fontId="8" fillId="4" borderId="0" xfId="0" applyFont="true" applyBorder="true" applyAlignment="true" applyProtection="false">
      <alignment horizontal="center" vertical="bottom" textRotation="0" wrapText="fals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right"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10" fillId="7"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4" fontId="10" fillId="7"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true" applyProtection="false">
      <alignment horizontal="center" vertical="bottom"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4" fontId="9" fillId="8" borderId="1" xfId="0" applyFont="true" applyBorder="true" applyAlignment="false" applyProtection="false">
      <alignment horizontal="general" vertical="bottom" textRotation="0" wrapText="false" indent="0" shrinkToFit="false"/>
      <protection locked="true" hidden="false"/>
    </xf>
    <xf numFmtId="164" fontId="11" fillId="8" borderId="1" xfId="0" applyFont="true" applyBorder="true" applyAlignment="true" applyProtection="false">
      <alignment horizontal="center" vertical="bottom" textRotation="0" wrapText="false" indent="0" shrinkToFit="false"/>
      <protection locked="true" hidden="false"/>
    </xf>
    <xf numFmtId="170" fontId="9" fillId="8" borderId="1" xfId="0" applyFont="true" applyBorder="true" applyAlignment="false" applyProtection="false">
      <alignment horizontal="general" vertical="bottom" textRotation="0" wrapText="false" indent="0" shrinkToFit="false"/>
      <protection locked="true" hidden="false"/>
    </xf>
    <xf numFmtId="164" fontId="11" fillId="7"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70" fontId="7" fillId="2"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1" fontId="11" fillId="8"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9" borderId="0" xfId="0" applyFont="true" applyBorder="fals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70" fontId="6" fillId="2" borderId="0" xfId="0" applyFont="true" applyBorder="false" applyAlignment="false" applyProtection="false">
      <alignment horizontal="general" vertical="bottom" textRotation="0" wrapText="false" indent="0" shrinkToFit="false"/>
      <protection locked="true" hidden="false"/>
    </xf>
    <xf numFmtId="164" fontId="6" fillId="10" borderId="1" xfId="0" applyFont="true" applyBorder="true" applyAlignment="false" applyProtection="false">
      <alignment horizontal="general" vertical="bottom" textRotation="0" wrapText="false" indent="0" shrinkToFit="false"/>
      <protection locked="true" hidden="false"/>
    </xf>
    <xf numFmtId="164" fontId="0" fillId="10" borderId="1" xfId="0" applyFont="fals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70"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0" fillId="11" borderId="1" xfId="0" applyFont="false" applyBorder="true" applyAlignment="false" applyProtection="false">
      <alignment horizontal="general" vertical="bottom" textRotation="0" wrapText="false" indent="0" shrinkToFit="false"/>
      <protection locked="true" hidden="false"/>
    </xf>
    <xf numFmtId="164" fontId="6" fillId="11" borderId="1" xfId="0" applyFont="true" applyBorder="true" applyAlignment="false" applyProtection="false">
      <alignment horizontal="general" vertical="bottom" textRotation="0" wrapText="false" indent="0" shrinkToFit="false"/>
      <protection locked="true" hidden="false"/>
    </xf>
    <xf numFmtId="170" fontId="6" fillId="11"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right"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right" vertical="bottom" textRotation="0" wrapText="false" indent="0" shrinkToFit="false"/>
      <protection locked="true" hidden="false"/>
    </xf>
    <xf numFmtId="164" fontId="11" fillId="7" borderId="1" xfId="0" applyFont="true" applyBorder="true" applyAlignment="true" applyProtection="false">
      <alignment horizontal="center" vertical="bottom" textRotation="0" wrapText="false" indent="0" shrinkToFit="false"/>
      <protection locked="true" hidden="false"/>
    </xf>
    <xf numFmtId="170" fontId="11" fillId="7"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4E78"/>
          <bgColor rgb="FF000000"/>
        </patternFill>
      </fill>
    </dxf>
    <dxf>
      <fill>
        <patternFill patternType="solid">
          <bgColor rgb="FF000000"/>
        </patternFill>
      </fill>
    </dxf>
    <dxf>
      <fill>
        <patternFill patternType="solid">
          <fgColor rgb="FFBFBFBF"/>
          <bgColor rgb="FF000000"/>
        </patternFill>
      </fill>
    </dxf>
    <dxf>
      <fill>
        <patternFill patternType="solid">
          <fgColor rgb="FFFFFFFF"/>
          <bgColor rgb="FF000000"/>
        </patternFill>
      </fill>
    </dxf>
    <dxf>
      <fill>
        <patternFill patternType="solid">
          <fgColor rgb="FFBF8F00"/>
          <bgColor rgb="FF000000"/>
        </patternFill>
      </fill>
    </dxf>
    <dxf>
      <fill>
        <patternFill patternType="solid">
          <fgColor rgb="FFFFF2CC"/>
          <bgColor rgb="FF000000"/>
        </patternFill>
      </fill>
    </dxf>
    <dxf>
      <fill>
        <patternFill patternType="solid">
          <fgColor rgb="FF0000FF"/>
          <bgColor rgb="FF000000"/>
        </patternFill>
      </fill>
    </dxf>
    <dxf>
      <font>
        <color rgb="FFBFBFBF"/>
      </font>
    </dxf>
    <dxf>
      <fill>
        <patternFill>
          <bgColor rgb="FFF8CBAD"/>
        </patternFill>
      </fill>
    </dxf>
    <dxf>
      <fill>
        <patternFill patternType="solid">
          <fgColor rgb="FFF7F9FC"/>
          <bgColor rgb="FF000000"/>
        </patternFill>
      </fill>
    </dxf>
    <dxf>
      <fill>
        <patternFill patternType="solid">
          <fgColor rgb="FFDDEBF7"/>
          <bgColor rgb="FF000000"/>
        </patternFill>
      </fill>
    </dxf>
    <dxf>
      <fill>
        <patternFill patternType="solid">
          <fgColor rgb="FFF2F2F2"/>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FF2CC"/>
      <rgbColor rgb="FFDDEBF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2F2F2"/>
      <rgbColor rgb="FFF7F9FC"/>
      <rgbColor rgb="FFFFE699"/>
      <rgbColor rgb="FF99CCFF"/>
      <rgbColor rgb="FFFF99CC"/>
      <rgbColor rgb="FFCC99FF"/>
      <rgbColor rgb="FFF8CBAD"/>
      <rgbColor rgb="FF3366FF"/>
      <rgbColor rgb="FF33CCCC"/>
      <rgbColor rgb="FF99CC00"/>
      <rgbColor rgb="FFFFCC00"/>
      <rgbColor rgb="FFBF8F00"/>
      <rgbColor rgb="FFFF6600"/>
      <rgbColor rgb="FF666699"/>
      <rgbColor rgb="FF969696"/>
      <rgbColor rgb="FF003366"/>
      <rgbColor rgb="FF339966"/>
      <rgbColor rgb="FF003300"/>
      <rgbColor rgb="FF333300"/>
      <rgbColor rgb="FF993300"/>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hyperlink" Target="https://directinfo.webmanagercenter.com/2026/09/29/poulet-escalope-oeufs-pas-de-penurie-annoncee-en-tunisie/" TargetMode="External"/><Relationship Id="rId2" Type="http://schemas.openxmlformats.org/officeDocument/2006/relationships/hyperlink" Target="https://www.tunisienumerique.com/prix-alimentaires-a-sfax-le-point-sur-les-marches-ce-mardi-photosvideo/" TargetMode="External"/><Relationship Id="rId3" Type="http://schemas.openxmlformats.org/officeDocument/2006/relationships/hyperlink" Target="https://businessnews.com.tn/2026/10/14/viande-rouge-le-kilo-dagneau-a-80-dinars-le-spectre-dune-nouvelle-flambee-avant-ramadan/1422974/" TargetMode="External"/><Relationship Id="rId4" Type="http://schemas.openxmlformats.org/officeDocument/2006/relationships/hyperlink" Target="https://fr.allafrica.com/stories/202608200427.html" TargetMode="External"/><Relationship Id="rId5" Type="http://schemas.openxmlformats.org/officeDocument/2006/relationships/hyperlink" Target="https://www.geantdrive.tn/tunis-city/162-legumes-frais" TargetMode="External"/><Relationship Id="rId6" Type="http://schemas.openxmlformats.org/officeDocument/2006/relationships/hyperlink" Target="https://www.uthina.com.tn/categorie-produit/huile-dolive/" TargetMode="External"/><Relationship Id="rId7" Type="http://schemas.openxmlformats.org/officeDocument/2006/relationships/hyperlink" Target="https://www.lapresse.tn/?p=255326" TargetMode="External"/><Relationship Id="rId8" Type="http://schemas.openxmlformats.org/officeDocument/2006/relationships/hyperlink" Target="https://www.geantdrive.tn/tunis-city/165-fruits" TargetMode="External"/><Relationship Id="rId9" Type="http://schemas.openxmlformats.org/officeDocument/2006/relationships/hyperlink" Target="https://www.tunisienumerique.com/prix-alimentaires-a-sfax-le-point-sur-les-marches-ce-mardi-photosvideo/" TargetMode="External"/><Relationship Id="rId10" Type="http://schemas.openxmlformats.org/officeDocument/2006/relationships/hyperlink" Target="https://directinfo.webmanagercenter.com/2026/10/22/tunisie-une-baisse-annoncee-des-prix-de-la-volaille-des-fruits-et-des-poissons" TargetMode="External"/><Relationship Id="rId11" Type="http://schemas.openxmlformats.org/officeDocument/2006/relationships/hyperlink" Target="https://www.tunisienumerique.com/alimentation-a-sfax-quels-sont-les-prix-du-jour-au-marche-photosvideo-28/" TargetMode="External"/><Relationship Id="rId12" Type="http://schemas.openxmlformats.org/officeDocument/2006/relationships/hyperlink" Target="https://www.geantdrive.tn/tunis-city/340-droguerie-et-entretie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3" min="3" style="0" width="28"/>
    <col collapsed="false" customWidth="true" hidden="false" outlineLevel="0" max="4" min="4" style="0" width="10"/>
    <col collapsed="false" customWidth="true" hidden="false" outlineLevel="0" max="5" min="5" style="0" width="7"/>
    <col collapsed="false" customWidth="true" hidden="false" outlineLevel="0" max="6" min="6" style="0" width="10"/>
    <col collapsed="false" customWidth="true" hidden="false" outlineLevel="0" max="7" min="7" style="0" width="12"/>
    <col collapsed="false" customWidth="true" hidden="false" outlineLevel="0" max="8" min="8" style="0" width="10"/>
    <col collapsed="false" customWidth="true" hidden="false" outlineLevel="0" max="9" min="9" style="0" width="9"/>
    <col collapsed="false" customWidth="true" hidden="false" outlineLevel="0" max="10" min="10" style="0" width="11"/>
    <col collapsed="false" customWidth="true" hidden="false" outlineLevel="0" max="11" min="11" style="0" width="10"/>
    <col collapsed="false" customWidth="true" hidden="false" outlineLevel="0" max="12" min="12" style="0" width="4"/>
    <col collapsed="false" customWidth="true" hidden="false" outlineLevel="0" max="13" min="13" style="0" width="2"/>
    <col collapsed="false" customWidth="true" hidden="false" outlineLevel="0" max="14" min="14" style="0" width="5"/>
    <col collapsed="false" customWidth="true" hidden="false" outlineLevel="0" max="15" min="15" style="0" width="30"/>
    <col collapsed="false" customWidth="true" hidden="false" outlineLevel="0" max="16" min="16" style="0" width="26"/>
    <col collapsed="false" customWidth="true" hidden="false" outlineLevel="0" max="17" min="17" style="0" width="18"/>
    <col collapsed="false" customWidth="true" hidden="false" outlineLevel="0" max="18" min="18" style="0" width="9"/>
    <col collapsed="false" customWidth="true" hidden="false" outlineLevel="0" max="19" min="19" style="0" width="12"/>
    <col collapsed="false" customWidth="true" hidden="false" outlineLevel="0" max="20" min="20" style="0" width="9"/>
    <col collapsed="false" customWidth="true" hidden="false" outlineLevel="0" max="21" min="21" style="0" width="11"/>
    <col collapsed="false" customWidth="true" hidden="false" outlineLevel="0" max="22" min="22" style="0" width="10"/>
    <col collapsed="false" customWidth="true" hidden="false" outlineLevel="0" max="23" min="23" style="0" width="4"/>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c r="I2" s="2"/>
      <c r="J2" s="2"/>
      <c r="K2" s="2"/>
      <c r="L2" s="2"/>
      <c r="M2" s="2"/>
      <c r="N2" s="2"/>
      <c r="O2" s="2"/>
      <c r="P2" s="2"/>
      <c r="Q2" s="2"/>
      <c r="R2" s="2"/>
      <c r="S2" s="2"/>
      <c r="T2" s="2"/>
      <c r="U2" s="2"/>
      <c r="V2" s="2"/>
      <c r="W2" s="2"/>
    </row>
    <row r="4" customFormat="false" ht="15" hidden="false" customHeight="false" outlineLevel="0" collapsed="false">
      <c r="B4" s="3" t="s">
        <v>2</v>
      </c>
      <c r="C4" s="4" t="n">
        <f aca="false">SUM(K9:K90)</f>
        <v>574.1121</v>
      </c>
      <c r="E4" s="5" t="s">
        <v>3</v>
      </c>
      <c r="G4" s="6" t="n">
        <f aca="false">SUMPRODUCT(F9:F90,J9:J90)+SUMPRODUCT(R9:R34,U9:U34)</f>
        <v>718.0221</v>
      </c>
    </row>
    <row r="5" customFormat="false" ht="15" hidden="false" customHeight="false" outlineLevel="0" collapsed="false">
      <c r="B5" s="3" t="s">
        <v>4</v>
      </c>
      <c r="C5" s="4" t="n">
        <f aca="false">SUM(V9:V34)</f>
        <v>143.91</v>
      </c>
      <c r="E5" s="5" t="s">
        <v>5</v>
      </c>
      <c r="G5" s="6" t="n">
        <f aca="false">C6-G4</f>
        <v>0</v>
      </c>
    </row>
    <row r="6" customFormat="false" ht="15" hidden="false" customHeight="false" outlineLevel="0" collapsed="false">
      <c r="B6" s="7" t="s">
        <v>6</v>
      </c>
      <c r="C6" s="8" t="n">
        <f aca="false">C4+C5</f>
        <v>718.0221</v>
      </c>
    </row>
    <row r="7" customFormat="false" ht="15" hidden="false" customHeight="false" outlineLevel="0" collapsed="false">
      <c r="A7" s="9" t="s">
        <v>7</v>
      </c>
      <c r="B7" s="9"/>
      <c r="C7" s="9"/>
      <c r="D7" s="9"/>
      <c r="E7" s="9"/>
      <c r="F7" s="9"/>
      <c r="G7" s="9"/>
      <c r="H7" s="9"/>
      <c r="I7" s="9"/>
      <c r="J7" s="9"/>
      <c r="K7" s="9"/>
      <c r="L7" s="9"/>
      <c r="N7" s="10" t="s">
        <v>8</v>
      </c>
      <c r="O7" s="10"/>
      <c r="P7" s="10"/>
      <c r="Q7" s="10"/>
      <c r="R7" s="10"/>
      <c r="S7" s="10"/>
      <c r="T7" s="10"/>
      <c r="U7" s="10"/>
      <c r="V7" s="10"/>
      <c r="W7" s="10"/>
    </row>
    <row r="8" customFormat="false" ht="31.5" hidden="false" customHeight="true" outlineLevel="0" collapsed="false">
      <c r="A8" s="11" t="s">
        <v>9</v>
      </c>
      <c r="B8" s="11" t="s">
        <v>10</v>
      </c>
      <c r="C8" s="11" t="s">
        <v>11</v>
      </c>
      <c r="D8" s="11" t="s">
        <v>12</v>
      </c>
      <c r="E8" s="11" t="s">
        <v>13</v>
      </c>
      <c r="F8" s="11" t="s">
        <v>14</v>
      </c>
      <c r="G8" s="12" t="s">
        <v>15</v>
      </c>
      <c r="H8" s="11" t="s">
        <v>16</v>
      </c>
      <c r="I8" s="11" t="s">
        <v>17</v>
      </c>
      <c r="J8" s="11" t="s">
        <v>18</v>
      </c>
      <c r="K8" s="11" t="s">
        <v>19</v>
      </c>
      <c r="L8" s="11" t="s">
        <v>20</v>
      </c>
      <c r="N8" s="11" t="s">
        <v>9</v>
      </c>
      <c r="O8" s="11" t="s">
        <v>21</v>
      </c>
      <c r="P8" s="11" t="s">
        <v>11</v>
      </c>
      <c r="Q8" s="11" t="s">
        <v>22</v>
      </c>
      <c r="R8" s="11" t="s">
        <v>23</v>
      </c>
      <c r="S8" s="12" t="s">
        <v>15</v>
      </c>
      <c r="T8" s="11" t="s">
        <v>16</v>
      </c>
      <c r="U8" s="11" t="s">
        <v>18</v>
      </c>
      <c r="V8" s="11" t="s">
        <v>19</v>
      </c>
      <c r="W8" s="11" t="s">
        <v>20</v>
      </c>
    </row>
    <row r="9" customFormat="false" ht="15" hidden="false" customHeight="false" outlineLevel="0" collapsed="false">
      <c r="A9" s="13" t="n">
        <f aca="false">IF($B9="","",1)</f>
        <v>1</v>
      </c>
      <c r="B9" s="13" t="str">
        <f aca="false">IF(Listes!A1="","",Listes!A1)</f>
        <v>Escalopes de poulet</v>
      </c>
      <c r="C9" s="14" t="str">
        <f aca="false">IF($B9="","",IFERROR(INDEX('Liste des ingrédients'!$C$5:$C$98,MATCH($B9,'Liste des ingrédients'!$B$5:$B$98,0)),""))</f>
        <v>إسكالوب دجاج (escalope djej)</v>
      </c>
      <c r="D9" s="15" t="n">
        <f aca="false">IF($B9="","",Listes!E1)</f>
        <v>1800</v>
      </c>
      <c r="E9" s="13" t="str">
        <f aca="false">IF($B9="","",IF(I9="kg","g",IF(I9="L","ml",I9)))</f>
        <v>g</v>
      </c>
      <c r="F9" s="15" t="n">
        <f aca="false">IF($B9="",0,IF(OR(I9="kg",I9="L"),ROUND(D9/1000,3),ROUNDUP(D9,0)))</f>
        <v>1.8</v>
      </c>
      <c r="G9" s="16"/>
      <c r="H9" s="17" t="n">
        <f aca="false">IF(G9="",F9,G9)</f>
        <v>1.8</v>
      </c>
      <c r="I9" s="13" t="str">
        <f aca="false">IF($B9="","",IFERROR(INDEX('Liste des ingrédients'!$G$5:$G$98,MATCH($B9,'Liste des ingrédients'!$B$5:$B$98,0)),""))</f>
        <v>kg</v>
      </c>
      <c r="J9" s="18" t="n">
        <f aca="false">IF($B9="",0,IFERROR(INDEX('Liste des ingrédients'!$H$5:$H$98,MATCH($B9,'Liste des ingrédients'!$B$5:$B$98,0)),0))</f>
        <v>19.4</v>
      </c>
      <c r="K9" s="18" t="n">
        <f aca="false">IF($B9="",0,H9*J9)</f>
        <v>34.92</v>
      </c>
      <c r="L9" s="13"/>
      <c r="N9" s="13" t="n">
        <f aca="false">IF($O9="","",1)</f>
        <v>1</v>
      </c>
      <c r="O9" s="13" t="str">
        <f aca="false">IF('Hygiène &amp; entretien'!B6="","",'Hygiène &amp; entretien'!B6)</f>
        <v>Savon de toilette</v>
      </c>
      <c r="P9" s="14" t="str">
        <f aca="false">IF(O9="","",'Hygiène &amp; entretien'!C6&amp;"")</f>
        <v>صابون (saboun)</v>
      </c>
      <c r="Q9" s="13" t="str">
        <f aca="false">IF(O9="","",'Hygiène &amp; entretien'!D6&amp;"")</f>
        <v>pain de 100 g</v>
      </c>
      <c r="R9" s="13" t="n">
        <f aca="false">IF(O9="",0,IF('Hygiène &amp; entretien'!E6="Oui",N('Hygiène &amp; entretien'!F6),0))</f>
        <v>4</v>
      </c>
      <c r="S9" s="19"/>
      <c r="T9" s="20" t="n">
        <f aca="false">IF(S9="",R9,S9)</f>
        <v>4</v>
      </c>
      <c r="U9" s="18" t="n">
        <f aca="false">IF(O9="",0,N('Hygiène &amp; entretien'!G6))</f>
        <v>1.8</v>
      </c>
      <c r="V9" s="18" t="n">
        <f aca="false">T9*U9</f>
        <v>7.2</v>
      </c>
      <c r="W9" s="13"/>
    </row>
    <row r="10" customFormat="false" ht="15" hidden="false" customHeight="false" outlineLevel="0" collapsed="false">
      <c r="A10" s="13" t="n">
        <f aca="false">IF($B10="","",2)</f>
        <v>2</v>
      </c>
      <c r="B10" s="13" t="str">
        <f aca="false">IF(Listes!A2="","",Listes!A2)</f>
        <v>Cuisses de poulet</v>
      </c>
      <c r="C10" s="14" t="str">
        <f aca="false">IF($B10="","",IFERROR(INDEX('Liste des ingrédients'!$C$5:$C$98,MATCH($B10,'Liste des ingrédients'!$B$5:$B$98,0)),""))</f>
        <v>فخاذ دجاج (fkhadh djej)</v>
      </c>
      <c r="D10" s="15" t="n">
        <f aca="false">IF($B10="","",Listes!E2)</f>
        <v>3100</v>
      </c>
      <c r="E10" s="13" t="str">
        <f aca="false">IF($B10="","",IF(I10="kg","g",IF(I10="L","ml",I10)))</f>
        <v>g</v>
      </c>
      <c r="F10" s="15" t="n">
        <f aca="false">IF($B10="",0,IF(OR(I10="kg",I10="L"),ROUND(D10/1000,3),ROUNDUP(D10,0)))</f>
        <v>3.1</v>
      </c>
      <c r="G10" s="16"/>
      <c r="H10" s="17" t="n">
        <f aca="false">IF(G10="",F10,G10)</f>
        <v>3.1</v>
      </c>
      <c r="I10" s="13" t="str">
        <f aca="false">IF($B10="","",IFERROR(INDEX('Liste des ingrédients'!$G$5:$G$98,MATCH($B10,'Liste des ingrédients'!$B$5:$B$98,0)),""))</f>
        <v>kg</v>
      </c>
      <c r="J10" s="18" t="n">
        <f aca="false">IF($B10="",0,IFERROR(INDEX('Liste des ingrédients'!$H$5:$H$98,MATCH($B10,'Liste des ingrédients'!$B$5:$B$98,0)),0))</f>
        <v>14.9</v>
      </c>
      <c r="K10" s="18" t="n">
        <f aca="false">IF($B10="",0,H10*J10)</f>
        <v>46.19</v>
      </c>
      <c r="L10" s="13"/>
      <c r="N10" s="13" t="n">
        <f aca="false">IF($O10="","",2)</f>
        <v>2</v>
      </c>
      <c r="O10" s="13" t="str">
        <f aca="false">IF('Hygiène &amp; entretien'!B7="","",'Hygiène &amp; entretien'!B7)</f>
        <v>Savon liquide pour les mains</v>
      </c>
      <c r="P10" s="14" t="str">
        <f aca="false">IF(O10="","",'Hygiène &amp; entretien'!C7&amp;"")</f>
        <v>صابون سائل (saboun sayel)</v>
      </c>
      <c r="Q10" s="13" t="str">
        <f aca="false">IF(O10="","",'Hygiène &amp; entretien'!D7&amp;"")</f>
        <v>flacon 1 L</v>
      </c>
      <c r="R10" s="13" t="n">
        <f aca="false">IF(O10="",0,IF('Hygiène &amp; entretien'!E7="Oui",N('Hygiène &amp; entretien'!F7),0))</f>
        <v>1</v>
      </c>
      <c r="S10" s="19"/>
      <c r="T10" s="20" t="n">
        <f aca="false">IF(S10="",R10,S10)</f>
        <v>1</v>
      </c>
      <c r="U10" s="18" t="n">
        <f aca="false">IF(O10="",0,N('Hygiène &amp; entretien'!G7))</f>
        <v>8.99</v>
      </c>
      <c r="V10" s="18" t="n">
        <f aca="false">T10*U10</f>
        <v>8.99</v>
      </c>
      <c r="W10" s="13"/>
    </row>
    <row r="11" customFormat="false" ht="15" hidden="false" customHeight="false" outlineLevel="0" collapsed="false">
      <c r="A11" s="13" t="n">
        <f aca="false">IF($B11="","",3)</f>
        <v>3</v>
      </c>
      <c r="B11" s="13" t="str">
        <f aca="false">IF(Listes!A3="","",Listes!A3)</f>
        <v>Morceaux de poulet (pilons, hauts de cuisse)</v>
      </c>
      <c r="C11" s="14" t="str">
        <f aca="false">IF($B11="","",IFERROR(INDEX('Liste des ingrédients'!$C$5:$C$98,MATCH($B11,'Liste des ingrédients'!$B$5:$B$98,0)),""))</f>
        <v>طرف دجاج (traf djej)</v>
      </c>
      <c r="D11" s="15" t="n">
        <f aca="false">IF($B11="","",Listes!E3)</f>
        <v>1400</v>
      </c>
      <c r="E11" s="13" t="str">
        <f aca="false">IF($B11="","",IF(I11="kg","g",IF(I11="L","ml",I11)))</f>
        <v>g</v>
      </c>
      <c r="F11" s="15" t="n">
        <f aca="false">IF($B11="",0,IF(OR(I11="kg",I11="L"),ROUND(D11/1000,3),ROUNDUP(D11,0)))</f>
        <v>1.4</v>
      </c>
      <c r="G11" s="16"/>
      <c r="H11" s="17" t="n">
        <f aca="false">IF(G11="",F11,G11)</f>
        <v>1.4</v>
      </c>
      <c r="I11" s="13" t="str">
        <f aca="false">IF($B11="","",IFERROR(INDEX('Liste des ingrédients'!$G$5:$G$98,MATCH($B11,'Liste des ingrédients'!$B$5:$B$98,0)),""))</f>
        <v>kg</v>
      </c>
      <c r="J11" s="18" t="n">
        <f aca="false">IF($B11="",0,IFERROR(INDEX('Liste des ingrédients'!$H$5:$H$98,MATCH($B11,'Liste des ingrédients'!$B$5:$B$98,0)),0))</f>
        <v>14.9</v>
      </c>
      <c r="K11" s="18" t="n">
        <f aca="false">IF($B11="",0,H11*J11)</f>
        <v>20.86</v>
      </c>
      <c r="L11" s="13"/>
      <c r="N11" s="13" t="n">
        <f aca="false">IF($O11="","",3)</f>
        <v>3</v>
      </c>
      <c r="O11" s="13" t="str">
        <f aca="false">IF('Hygiène &amp; entretien'!B8="","",'Hygiène &amp; entretien'!B8)</f>
        <v>Shampooing 2 en 1</v>
      </c>
      <c r="P11" s="14" t="str">
        <f aca="false">IF(O11="","",'Hygiène &amp; entretien'!C8&amp;"")</f>
        <v>شامبوان (shampoing)</v>
      </c>
      <c r="Q11" s="13" t="str">
        <f aca="false">IF(O11="","",'Hygiène &amp; entretien'!D8&amp;"")</f>
        <v>flacon 400 ml</v>
      </c>
      <c r="R11" s="13" t="n">
        <f aca="false">IF(O11="",0,IF('Hygiène &amp; entretien'!E8="Oui",N('Hygiène &amp; entretien'!F8),0))</f>
        <v>2</v>
      </c>
      <c r="S11" s="19"/>
      <c r="T11" s="20" t="n">
        <f aca="false">IF(S11="",R11,S11)</f>
        <v>2</v>
      </c>
      <c r="U11" s="18" t="n">
        <f aca="false">IF(O11="",0,N('Hygiène &amp; entretien'!G8))</f>
        <v>5.65</v>
      </c>
      <c r="V11" s="18" t="n">
        <f aca="false">T11*U11</f>
        <v>11.3</v>
      </c>
      <c r="W11" s="13"/>
    </row>
    <row r="12" customFormat="false" ht="15" hidden="false" customHeight="false" outlineLevel="0" collapsed="false">
      <c r="A12" s="13" t="n">
        <f aca="false">IF($B12="","",4)</f>
        <v>4</v>
      </c>
      <c r="B12" s="13" t="str">
        <f aca="false">IF(Listes!A4="","",Listes!A4)</f>
        <v>Blanc de poulet</v>
      </c>
      <c r="C12" s="14" t="str">
        <f aca="false">IF($B12="","",IFERROR(INDEX('Liste des ingrédients'!$C$5:$C$98,MATCH($B12,'Liste des ingrédients'!$B$5:$B$98,0)),""))</f>
        <v>صدر دجاج (sedr djej)</v>
      </c>
      <c r="D12" s="15" t="n">
        <f aca="false">IF($B12="","",Listes!E4)</f>
        <v>650</v>
      </c>
      <c r="E12" s="13" t="str">
        <f aca="false">IF($B12="","",IF(I12="kg","g",IF(I12="L","ml",I12)))</f>
        <v>g</v>
      </c>
      <c r="F12" s="15" t="n">
        <f aca="false">IF($B12="",0,IF(OR(I12="kg",I12="L"),ROUND(D12/1000,3),ROUNDUP(D12,0)))</f>
        <v>0.65</v>
      </c>
      <c r="G12" s="16"/>
      <c r="H12" s="17" t="n">
        <f aca="false">IF(G12="",F12,G12)</f>
        <v>0.65</v>
      </c>
      <c r="I12" s="13" t="str">
        <f aca="false">IF($B12="","",IFERROR(INDEX('Liste des ingrédients'!$G$5:$G$98,MATCH($B12,'Liste des ingrédients'!$B$5:$B$98,0)),""))</f>
        <v>kg</v>
      </c>
      <c r="J12" s="18" t="n">
        <f aca="false">IF($B12="",0,IFERROR(INDEX('Liste des ingrédients'!$H$5:$H$98,MATCH($B12,'Liste des ingrédients'!$B$5:$B$98,0)),0))</f>
        <v>19.4</v>
      </c>
      <c r="K12" s="18" t="n">
        <f aca="false">IF($B12="",0,H12*J12)</f>
        <v>12.61</v>
      </c>
      <c r="L12" s="13"/>
      <c r="N12" s="13" t="n">
        <f aca="false">IF($O12="","",4)</f>
        <v>4</v>
      </c>
      <c r="O12" s="13" t="str">
        <f aca="false">IF('Hygiène &amp; entretien'!B9="","",'Hygiène &amp; entretien'!B9)</f>
        <v>Dentifrice</v>
      </c>
      <c r="P12" s="14" t="str">
        <f aca="false">IF(O12="","",'Hygiène &amp; entretien'!C9&amp;"")</f>
        <v>معجون سنين (ma3joun snin)</v>
      </c>
      <c r="Q12" s="13" t="str">
        <f aca="false">IF(O12="","",'Hygiène &amp; entretien'!D9&amp;"")</f>
        <v>tube 75 ml</v>
      </c>
      <c r="R12" s="13" t="n">
        <f aca="false">IF(O12="",0,IF('Hygiène &amp; entretien'!E9="Oui",N('Hygiène &amp; entretien'!F9),0))</f>
        <v>2</v>
      </c>
      <c r="S12" s="19"/>
      <c r="T12" s="20" t="n">
        <f aca="false">IF(S12="",R12,S12)</f>
        <v>2</v>
      </c>
      <c r="U12" s="18" t="n">
        <f aca="false">IF(O12="",0,N('Hygiène &amp; entretien'!G9))</f>
        <v>2.99</v>
      </c>
      <c r="V12" s="18" t="n">
        <f aca="false">T12*U12</f>
        <v>5.98</v>
      </c>
      <c r="W12" s="13"/>
    </row>
    <row r="13" customFormat="false" ht="15" hidden="false" customHeight="false" outlineLevel="0" collapsed="false">
      <c r="A13" s="13" t="n">
        <f aca="false">IF($B13="","",5)</f>
        <v>5</v>
      </c>
      <c r="B13" s="13" t="str">
        <f aca="false">IF(Listes!A5="","",Listes!A5)</f>
        <v>Poulet pour spaghetti</v>
      </c>
      <c r="C13" s="14" t="str">
        <f aca="false">IF($B13="","",IFERROR(INDEX('Liste des ingrédients'!$C$5:$C$98,MATCH($B13,'Liste des ingrédients'!$B$5:$B$98,0)),""))</f>
        <v>دجاج (djej)</v>
      </c>
      <c r="D13" s="15" t="n">
        <f aca="false">IF($B13="","",Listes!E5)</f>
        <v>1000</v>
      </c>
      <c r="E13" s="13" t="str">
        <f aca="false">IF($B13="","",IF(I13="kg","g",IF(I13="L","ml",I13)))</f>
        <v>g</v>
      </c>
      <c r="F13" s="15" t="n">
        <f aca="false">IF($B13="",0,IF(OR(I13="kg",I13="L"),ROUND(D13/1000,3),ROUNDUP(D13,0)))</f>
        <v>1</v>
      </c>
      <c r="G13" s="16"/>
      <c r="H13" s="17" t="n">
        <f aca="false">IF(G13="",F13,G13)</f>
        <v>1</v>
      </c>
      <c r="I13" s="13" t="str">
        <f aca="false">IF($B13="","",IFERROR(INDEX('Liste des ingrédients'!$G$5:$G$98,MATCH($B13,'Liste des ingrédients'!$B$5:$B$98,0)),""))</f>
        <v>kg</v>
      </c>
      <c r="J13" s="18" t="n">
        <f aca="false">IF($B13="",0,IFERROR(INDEX('Liste des ingrédients'!$H$5:$H$98,MATCH($B13,'Liste des ingrédients'!$B$5:$B$98,0)),0))</f>
        <v>14.9</v>
      </c>
      <c r="K13" s="18" t="n">
        <f aca="false">IF($B13="",0,H13*J13)</f>
        <v>14.9</v>
      </c>
      <c r="L13" s="13"/>
      <c r="N13" s="13" t="n">
        <f aca="false">IF($O13="","",5)</f>
        <v>5</v>
      </c>
      <c r="O13" s="13" t="str">
        <f aca="false">IF('Hygiène &amp; entretien'!B10="","",'Hygiène &amp; entretien'!B10)</f>
        <v>Brosses à dents</v>
      </c>
      <c r="P13" s="14" t="str">
        <f aca="false">IF(O13="","",'Hygiène &amp; entretien'!C10&amp;"")</f>
        <v>فرشة سنين (forchet snin)</v>
      </c>
      <c r="Q13" s="13" t="str">
        <f aca="false">IF(O13="","",'Hygiène &amp; entretien'!D10&amp;"")</f>
        <v>pièce</v>
      </c>
      <c r="R13" s="13" t="n">
        <f aca="false">IF(O13="",0,IF('Hygiène &amp; entretien'!E10="Oui",N('Hygiène &amp; entretien'!F10),0))</f>
        <v>4</v>
      </c>
      <c r="S13" s="19"/>
      <c r="T13" s="20" t="n">
        <f aca="false">IF(S13="",R13,S13)</f>
        <v>4</v>
      </c>
      <c r="U13" s="18" t="n">
        <f aca="false">IF(O13="",0,N('Hygiène &amp; entretien'!G10))</f>
        <v>1.59</v>
      </c>
      <c r="V13" s="18" t="n">
        <f aca="false">T13*U13</f>
        <v>6.36</v>
      </c>
      <c r="W13" s="13"/>
    </row>
    <row r="14" customFormat="false" ht="15" hidden="false" customHeight="false" outlineLevel="0" collapsed="false">
      <c r="A14" s="13" t="n">
        <f aca="false">IF($B14="","",6)</f>
        <v>6</v>
      </c>
      <c r="B14" s="13" t="str">
        <f aca="false">IF(Listes!A6="","",Listes!A6)</f>
        <v>Bœuf à mijoter</v>
      </c>
      <c r="C14" s="14" t="str">
        <f aca="false">IF($B14="","",IFERROR(INDEX('Liste des ingrédients'!$C$5:$C$98,MATCH($B14,'Liste des ingrédients'!$B$5:$B$98,0)),""))</f>
        <v>لحم بقري (lham bagri)</v>
      </c>
      <c r="D14" s="15" t="n">
        <f aca="false">IF($B14="","",Listes!E6)</f>
        <v>1300</v>
      </c>
      <c r="E14" s="13" t="str">
        <f aca="false">IF($B14="","",IF(I14="kg","g",IF(I14="L","ml",I14)))</f>
        <v>g</v>
      </c>
      <c r="F14" s="15" t="n">
        <f aca="false">IF($B14="",0,IF(OR(I14="kg",I14="L"),ROUND(D14/1000,3),ROUNDUP(D14,0)))</f>
        <v>1.3</v>
      </c>
      <c r="G14" s="16"/>
      <c r="H14" s="17" t="n">
        <f aca="false">IF(G14="",F14,G14)</f>
        <v>1.3</v>
      </c>
      <c r="I14" s="13" t="str">
        <f aca="false">IF($B14="","",IFERROR(INDEX('Liste des ingrédients'!$G$5:$G$98,MATCH($B14,'Liste des ingrédients'!$B$5:$B$98,0)),""))</f>
        <v>kg</v>
      </c>
      <c r="J14" s="18" t="n">
        <f aca="false">IF($B14="",0,IFERROR(INDEX('Liste des ingrédients'!$H$5:$H$98,MATCH($B14,'Liste des ingrédients'!$B$5:$B$98,0)),0))</f>
        <v>47.5</v>
      </c>
      <c r="K14" s="18" t="n">
        <f aca="false">IF($B14="",0,H14*J14)</f>
        <v>61.75</v>
      </c>
      <c r="L14" s="13"/>
      <c r="N14" s="13" t="n">
        <f aca="false">IF($O14="","",6)</f>
        <v>6</v>
      </c>
      <c r="O14" s="13" t="str">
        <f aca="false">IF('Hygiène &amp; entretien'!B11="","",'Hygiène &amp; entretien'!B11)</f>
        <v>Papier hygiénique</v>
      </c>
      <c r="P14" s="14" t="str">
        <f aca="false">IF(O14="","",'Hygiène &amp; entretien'!C11&amp;"")</f>
        <v>كاغط توالات (kaghet twalet)</v>
      </c>
      <c r="Q14" s="13" t="str">
        <f aca="false">IF(O14="","",'Hygiène &amp; entretien'!D11&amp;"")</f>
        <v>paquet de 12 rouleaux</v>
      </c>
      <c r="R14" s="13" t="n">
        <f aca="false">IF(O14="",0,IF('Hygiène &amp; entretien'!E11="Oui",N('Hygiène &amp; entretien'!F11),0))</f>
        <v>2</v>
      </c>
      <c r="S14" s="19"/>
      <c r="T14" s="20" t="n">
        <f aca="false">IF(S14="",R14,S14)</f>
        <v>2</v>
      </c>
      <c r="U14" s="18" t="n">
        <f aca="false">IF(O14="",0,N('Hygiène &amp; entretien'!G11))</f>
        <v>8.99</v>
      </c>
      <c r="V14" s="18" t="n">
        <f aca="false">T14*U14</f>
        <v>17.98</v>
      </c>
      <c r="W14" s="13"/>
    </row>
    <row r="15" customFormat="false" ht="15" hidden="false" customHeight="false" outlineLevel="0" collapsed="false">
      <c r="A15" s="13" t="n">
        <f aca="false">IF($B15="","",7)</f>
        <v>7</v>
      </c>
      <c r="B15" s="13" t="str">
        <f aca="false">IF(Listes!A7="","",Listes!A7)</f>
        <v>Agneau</v>
      </c>
      <c r="C15" s="14" t="str">
        <f aca="false">IF($B15="","",IFERROR(INDEX('Liste des ingrédients'!$C$5:$C$98,MATCH($B15,'Liste des ingrédients'!$B$5:$B$98,0)),""))</f>
        <v>لحم علوش (lham 3allouch)</v>
      </c>
      <c r="D15" s="15" t="n">
        <f aca="false">IF($B15="","",Listes!E7)</f>
        <v>400</v>
      </c>
      <c r="E15" s="13" t="str">
        <f aca="false">IF($B15="","",IF(I15="kg","g",IF(I15="L","ml",I15)))</f>
        <v>g</v>
      </c>
      <c r="F15" s="15" t="n">
        <f aca="false">IF($B15="",0,IF(OR(I15="kg",I15="L"),ROUND(D15/1000,3),ROUNDUP(D15,0)))</f>
        <v>0.4</v>
      </c>
      <c r="G15" s="16"/>
      <c r="H15" s="17" t="n">
        <f aca="false">IF(G15="",F15,G15)</f>
        <v>0.4</v>
      </c>
      <c r="I15" s="13" t="str">
        <f aca="false">IF($B15="","",IFERROR(INDEX('Liste des ingrédients'!$G$5:$G$98,MATCH($B15,'Liste des ingrédients'!$B$5:$B$98,0)),""))</f>
        <v>kg</v>
      </c>
      <c r="J15" s="18" t="n">
        <f aca="false">IF($B15="",0,IFERROR(INDEX('Liste des ingrédients'!$H$5:$H$98,MATCH($B15,'Liste des ingrédients'!$B$5:$B$98,0)),0))</f>
        <v>60</v>
      </c>
      <c r="K15" s="18" t="n">
        <f aca="false">IF($B15="",0,H15*J15)</f>
        <v>24</v>
      </c>
      <c r="L15" s="13"/>
      <c r="N15" s="13" t="n">
        <f aca="false">IF($O15="","",7)</f>
        <v>7</v>
      </c>
      <c r="O15" s="13" t="str">
        <f aca="false">IF('Hygiène &amp; entretien'!B12="","",'Hygiène &amp; entretien'!B12)</f>
        <v>Déodorant</v>
      </c>
      <c r="P15" s="14" t="str">
        <f aca="false">IF(O15="","",'Hygiène &amp; entretien'!C12&amp;"")</f>
        <v>ديودوران (déodorant)</v>
      </c>
      <c r="Q15" s="13" t="str">
        <f aca="false">IF(O15="","",'Hygiène &amp; entretien'!D12&amp;"")</f>
        <v>flacon 150 ml</v>
      </c>
      <c r="R15" s="13" t="n">
        <f aca="false">IF(O15="",0,IF('Hygiène &amp; entretien'!E12="Oui",N('Hygiène &amp; entretien'!F12),0))</f>
        <v>2</v>
      </c>
      <c r="S15" s="19"/>
      <c r="T15" s="20" t="n">
        <f aca="false">IF(S15="",R15,S15)</f>
        <v>2</v>
      </c>
      <c r="U15" s="18" t="n">
        <f aca="false">IF(O15="",0,N('Hygiène &amp; entretien'!G12))</f>
        <v>7</v>
      </c>
      <c r="V15" s="18" t="n">
        <f aca="false">T15*U15</f>
        <v>14</v>
      </c>
      <c r="W15" s="13"/>
    </row>
    <row r="16" customFormat="false" ht="15" hidden="false" customHeight="false" outlineLevel="0" collapsed="false">
      <c r="A16" s="13" t="n">
        <f aca="false">IF($B16="","",8)</f>
        <v>8</v>
      </c>
      <c r="B16" s="13" t="str">
        <f aca="false">IF(Listes!A8="","",Listes!A8)</f>
        <v>Viande hachée</v>
      </c>
      <c r="C16" s="14" t="str">
        <f aca="false">IF($B16="","",IFERROR(INDEX('Liste des ingrédients'!$C$5:$C$98,MATCH($B16,'Liste des ingrédients'!$B$5:$B$98,0)),""))</f>
        <v>لحم مرحي (lham mor7i)</v>
      </c>
      <c r="D16" s="15" t="n">
        <f aca="false">IF($B16="","",Listes!E8)</f>
        <v>300</v>
      </c>
      <c r="E16" s="13" t="str">
        <f aca="false">IF($B16="","",IF(I16="kg","g",IF(I16="L","ml",I16)))</f>
        <v>g</v>
      </c>
      <c r="F16" s="15" t="n">
        <f aca="false">IF($B16="",0,IF(OR(I16="kg",I16="L"),ROUND(D16/1000,3),ROUNDUP(D16,0)))</f>
        <v>0.3</v>
      </c>
      <c r="G16" s="16"/>
      <c r="H16" s="17" t="n">
        <f aca="false">IF(G16="",F16,G16)</f>
        <v>0.3</v>
      </c>
      <c r="I16" s="13" t="str">
        <f aca="false">IF($B16="","",IFERROR(INDEX('Liste des ingrédients'!$G$5:$G$98,MATCH($B16,'Liste des ingrédients'!$B$5:$B$98,0)),""))</f>
        <v>kg</v>
      </c>
      <c r="J16" s="18" t="n">
        <f aca="false">IF($B16="",0,IFERROR(INDEX('Liste des ingrédients'!$H$5:$H$98,MATCH($B16,'Liste des ingrédients'!$B$5:$B$98,0)),0))</f>
        <v>45</v>
      </c>
      <c r="K16" s="18" t="n">
        <f aca="false">IF($B16="",0,H16*J16)</f>
        <v>13.5</v>
      </c>
      <c r="L16" s="13"/>
      <c r="N16" s="13" t="n">
        <f aca="false">IF($O16="","",8)</f>
        <v>8</v>
      </c>
      <c r="O16" s="13" t="str">
        <f aca="false">IF('Hygiène &amp; entretien'!B13="","",'Hygiène &amp; entretien'!B13)</f>
        <v>Serviettes hygiéniques (selon besoin)</v>
      </c>
      <c r="P16" s="14" t="str">
        <f aca="false">IF(O16="","",'Hygiène &amp; entretien'!C13&amp;"")</f>
        <v>فوطة صحية (fouta si77iya)</v>
      </c>
      <c r="Q16" s="13" t="str">
        <f aca="false">IF(O16="","",'Hygiène &amp; entretien'!D13&amp;"")</f>
        <v>paquet</v>
      </c>
      <c r="R16" s="13" t="n">
        <f aca="false">IF(O16="",0,IF('Hygiène &amp; entretien'!E13="Oui",N('Hygiène &amp; entretien'!F13),0))</f>
        <v>2</v>
      </c>
      <c r="S16" s="19"/>
      <c r="T16" s="20" t="n">
        <f aca="false">IF(S16="",R16,S16)</f>
        <v>2</v>
      </c>
      <c r="U16" s="18" t="n">
        <f aca="false">IF(O16="",0,N('Hygiène &amp; entretien'!G13))</f>
        <v>4.5</v>
      </c>
      <c r="V16" s="18" t="n">
        <f aca="false">T16*U16</f>
        <v>9</v>
      </c>
      <c r="W16" s="13"/>
    </row>
    <row r="17" customFormat="false" ht="15" hidden="false" customHeight="false" outlineLevel="0" collapsed="false">
      <c r="A17" s="13" t="n">
        <f aca="false">IF($B17="","",9)</f>
        <v>9</v>
      </c>
      <c r="B17" s="13" t="str">
        <f aca="false">IF(Listes!A9="","",Listes!A9)</f>
        <v>Foie</v>
      </c>
      <c r="C17" s="14" t="str">
        <f aca="false">IF($B17="","",IFERROR(INDEX('Liste des ingrédients'!$C$5:$C$98,MATCH($B17,'Liste des ingrédients'!$B$5:$B$98,0)),""))</f>
        <v>كبدة (kebda)</v>
      </c>
      <c r="D17" s="15" t="n">
        <f aca="false">IF($B17="","",Listes!E9)</f>
        <v>700</v>
      </c>
      <c r="E17" s="13" t="str">
        <f aca="false">IF($B17="","",IF(I17="kg","g",IF(I17="L","ml",I17)))</f>
        <v>g</v>
      </c>
      <c r="F17" s="15" t="n">
        <f aca="false">IF($B17="",0,IF(OR(I17="kg",I17="L"),ROUND(D17/1000,3),ROUNDUP(D17,0)))</f>
        <v>0.7</v>
      </c>
      <c r="G17" s="16"/>
      <c r="H17" s="17" t="n">
        <f aca="false">IF(G17="",F17,G17)</f>
        <v>0.7</v>
      </c>
      <c r="I17" s="13" t="str">
        <f aca="false">IF($B17="","",IFERROR(INDEX('Liste des ingrédients'!$G$5:$G$98,MATCH($B17,'Liste des ingrédients'!$B$5:$B$98,0)),""))</f>
        <v>kg</v>
      </c>
      <c r="J17" s="18" t="n">
        <f aca="false">IF($B17="",0,IFERROR(INDEX('Liste des ingrédients'!$H$5:$H$98,MATCH($B17,'Liste des ingrédients'!$B$5:$B$98,0)),0))</f>
        <v>45</v>
      </c>
      <c r="K17" s="18" t="n">
        <f aca="false">IF($B17="",0,H17*J17)</f>
        <v>31.5</v>
      </c>
      <c r="L17" s="13"/>
      <c r="N17" s="13" t="n">
        <f aca="false">IF($O17="","",9)</f>
        <v>9</v>
      </c>
      <c r="O17" s="13" t="str">
        <f aca="false">IF('Hygiène &amp; entretien'!B14="","",'Hygiène &amp; entretien'!B14)</f>
        <v>Gel antibactérien</v>
      </c>
      <c r="P17" s="14" t="str">
        <f aca="false">IF(O17="","",'Hygiène &amp; entretien'!C14&amp;"")</f>
        <v>جال معقم (gel m3aqqem)</v>
      </c>
      <c r="Q17" s="13" t="str">
        <f aca="false">IF(O17="","",'Hygiène &amp; entretien'!D14&amp;"")</f>
        <v>flacon 125 ml</v>
      </c>
      <c r="R17" s="13" t="n">
        <f aca="false">IF(O17="",0,IF('Hygiène &amp; entretien'!E14="Oui",N('Hygiène &amp; entretien'!F14),0))</f>
        <v>1</v>
      </c>
      <c r="S17" s="19"/>
      <c r="T17" s="20" t="n">
        <f aca="false">IF(S17="",R17,S17)</f>
        <v>1</v>
      </c>
      <c r="U17" s="18" t="n">
        <f aca="false">IF(O17="",0,N('Hygiène &amp; entretien'!G14))</f>
        <v>3.69</v>
      </c>
      <c r="V17" s="18" t="n">
        <f aca="false">T17*U17</f>
        <v>3.69</v>
      </c>
      <c r="W17" s="13"/>
    </row>
    <row r="18" customFormat="false" ht="15" hidden="false" customHeight="false" outlineLevel="0" collapsed="false">
      <c r="A18" s="13" t="n">
        <f aca="false">IF($B18="","",10)</f>
        <v>10</v>
      </c>
      <c r="B18" s="13" t="str">
        <f aca="false">IF(Listes!A10="","",Listes!A10)</f>
        <v>Merguez</v>
      </c>
      <c r="C18" s="14" t="str">
        <f aca="false">IF($B18="","",IFERROR(INDEX('Liste des ingrédients'!$C$5:$C$98,MATCH($B18,'Liste des ingrédients'!$B$5:$B$98,0)),""))</f>
        <v>مرقاز (mergaz)</v>
      </c>
      <c r="D18" s="15" t="n">
        <f aca="false">IF($B18="","",Listes!E10)</f>
        <v>500</v>
      </c>
      <c r="E18" s="13" t="str">
        <f aca="false">IF($B18="","",IF(I18="kg","g",IF(I18="L","ml",I18)))</f>
        <v>g</v>
      </c>
      <c r="F18" s="15" t="n">
        <f aca="false">IF($B18="",0,IF(OR(I18="kg",I18="L"),ROUND(D18/1000,3),ROUNDUP(D18,0)))</f>
        <v>0.5</v>
      </c>
      <c r="G18" s="16"/>
      <c r="H18" s="17" t="n">
        <f aca="false">IF(G18="",F18,G18)</f>
        <v>0.5</v>
      </c>
      <c r="I18" s="13" t="str">
        <f aca="false">IF($B18="","",IFERROR(INDEX('Liste des ingrédients'!$G$5:$G$98,MATCH($B18,'Liste des ingrédients'!$B$5:$B$98,0)),""))</f>
        <v>kg</v>
      </c>
      <c r="J18" s="18" t="n">
        <f aca="false">IF($B18="",0,IFERROR(INDEX('Liste des ingrédients'!$H$5:$H$98,MATCH($B18,'Liste des ingrédients'!$B$5:$B$98,0)),0))</f>
        <v>40</v>
      </c>
      <c r="K18" s="18" t="n">
        <f aca="false">IF($B18="",0,H18*J18)</f>
        <v>20</v>
      </c>
      <c r="L18" s="13"/>
      <c r="N18" s="13" t="n">
        <f aca="false">IF($O18="","",10)</f>
        <v>10</v>
      </c>
      <c r="O18" s="13" t="str">
        <f aca="false">IF('Hygiène &amp; entretien'!B17="","",'Hygiène &amp; entretien'!B17)</f>
        <v>Liquide vaisselle</v>
      </c>
      <c r="P18" s="14" t="str">
        <f aca="false">IF(O18="","",'Hygiène &amp; entretien'!C17&amp;"")</f>
        <v>صابون ماعون (saboun ma3oun)</v>
      </c>
      <c r="Q18" s="13" t="str">
        <f aca="false">IF(O18="","",'Hygiène &amp; entretien'!D17&amp;"")</f>
        <v>flacon 960 ml</v>
      </c>
      <c r="R18" s="13" t="n">
        <f aca="false">IF(O18="",0,IF('Hygiène &amp; entretien'!E17="Oui",N('Hygiène &amp; entretien'!F17),0))</f>
        <v>2</v>
      </c>
      <c r="S18" s="19"/>
      <c r="T18" s="20" t="n">
        <f aca="false">IF(S18="",R18,S18)</f>
        <v>2</v>
      </c>
      <c r="U18" s="18" t="n">
        <f aca="false">IF(O18="",0,N('Hygiène &amp; entretien'!G17))</f>
        <v>6.69</v>
      </c>
      <c r="V18" s="18" t="n">
        <f aca="false">T18*U18</f>
        <v>13.38</v>
      </c>
      <c r="W18" s="13"/>
    </row>
    <row r="19" customFormat="false" ht="15" hidden="false" customHeight="false" outlineLevel="0" collapsed="false">
      <c r="A19" s="13" t="n">
        <f aca="false">IF($B19="","",11)</f>
        <v>11</v>
      </c>
      <c r="B19" s="13" t="str">
        <f aca="false">IF(Listes!A11="","",Listes!A11)</f>
        <v>Poisson à chair ferme (mérou, loup, dorade)</v>
      </c>
      <c r="C19" s="14" t="str">
        <f aca="false">IF($B19="","",IFERROR(INDEX('Liste des ingrédients'!$C$5:$C$98,MATCH($B19,'Liste des ingrédients'!$B$5:$B$98,0)),""))</f>
        <v>حوت: مناني، قاروص، وراطة</v>
      </c>
      <c r="D19" s="15" t="n">
        <f aca="false">IF($B19="","",Listes!E11)</f>
        <v>1000</v>
      </c>
      <c r="E19" s="13" t="str">
        <f aca="false">IF($B19="","",IF(I19="kg","g",IF(I19="L","ml",I19)))</f>
        <v>g</v>
      </c>
      <c r="F19" s="15" t="n">
        <f aca="false">IF($B19="",0,IF(OR(I19="kg",I19="L"),ROUND(D19/1000,3),ROUNDUP(D19,0)))</f>
        <v>1</v>
      </c>
      <c r="G19" s="16"/>
      <c r="H19" s="17" t="n">
        <f aca="false">IF(G19="",F19,G19)</f>
        <v>1</v>
      </c>
      <c r="I19" s="13" t="str">
        <f aca="false">IF($B19="","",IFERROR(INDEX('Liste des ingrédients'!$G$5:$G$98,MATCH($B19,'Liste des ingrédients'!$B$5:$B$98,0)),""))</f>
        <v>kg</v>
      </c>
      <c r="J19" s="18" t="n">
        <f aca="false">IF($B19="",0,IFERROR(INDEX('Liste des ingrédients'!$H$5:$H$98,MATCH($B19,'Liste des ingrédients'!$B$5:$B$98,0)),0))</f>
        <v>22</v>
      </c>
      <c r="K19" s="18" t="n">
        <f aca="false">IF($B19="",0,H19*J19)</f>
        <v>22</v>
      </c>
      <c r="L19" s="13"/>
      <c r="N19" s="13" t="n">
        <f aca="false">IF($O19="","",11)</f>
        <v>11</v>
      </c>
      <c r="O19" s="13" t="str">
        <f aca="false">IF('Hygiène &amp; entretien'!B18="","",'Hygiène &amp; entretien'!B18)</f>
        <v>Eau de javel</v>
      </c>
      <c r="P19" s="14" t="str">
        <f aca="false">IF(O19="","",'Hygiène &amp; entretien'!C18&amp;"")</f>
        <v>جافال (javel)</v>
      </c>
      <c r="Q19" s="13" t="str">
        <f aca="false">IF(O19="","",'Hygiène &amp; entretien'!D18&amp;"")</f>
        <v>bidon 3 L</v>
      </c>
      <c r="R19" s="13" t="n">
        <f aca="false">IF(O19="",0,IF('Hygiène &amp; entretien'!E18="Oui",N('Hygiène &amp; entretien'!F18),0))</f>
        <v>1</v>
      </c>
      <c r="S19" s="19"/>
      <c r="T19" s="20" t="n">
        <f aca="false">IF(S19="",R19,S19)</f>
        <v>1</v>
      </c>
      <c r="U19" s="18" t="n">
        <f aca="false">IF(O19="",0,N('Hygiène &amp; entretien'!G18))</f>
        <v>5.35</v>
      </c>
      <c r="V19" s="18" t="n">
        <f aca="false">T19*U19</f>
        <v>5.35</v>
      </c>
      <c r="W19" s="13"/>
    </row>
    <row r="20" customFormat="false" ht="15" hidden="false" customHeight="false" outlineLevel="0" collapsed="false">
      <c r="A20" s="13" t="n">
        <f aca="false">IF($B20="","",12)</f>
        <v>12</v>
      </c>
      <c r="B20" s="13" t="str">
        <f aca="false">IF(Listes!A12="","",Listes!A12)</f>
        <v>Poisson blanc haché</v>
      </c>
      <c r="C20" s="14" t="str">
        <f aca="false">IF($B20="","",IFERROR(INDEX('Liste des ingrédients'!$C$5:$C$98,MATCH($B20,'Liste des ingrédients'!$B$5:$B$98,0)),""))</f>
        <v>حوت أبيض مرحي (7out abyedh mor7i)</v>
      </c>
      <c r="D20" s="15" t="n">
        <f aca="false">IF($B20="","",Listes!E12)</f>
        <v>600</v>
      </c>
      <c r="E20" s="13" t="str">
        <f aca="false">IF($B20="","",IF(I20="kg","g",IF(I20="L","ml",I20)))</f>
        <v>g</v>
      </c>
      <c r="F20" s="15" t="n">
        <f aca="false">IF($B20="",0,IF(OR(I20="kg",I20="L"),ROUND(D20/1000,3),ROUNDUP(D20,0)))</f>
        <v>0.6</v>
      </c>
      <c r="G20" s="16"/>
      <c r="H20" s="17" t="n">
        <f aca="false">IF(G20="",F20,G20)</f>
        <v>0.6</v>
      </c>
      <c r="I20" s="13" t="str">
        <f aca="false">IF($B20="","",IFERROR(INDEX('Liste des ingrédients'!$G$5:$G$98,MATCH($B20,'Liste des ingrédients'!$B$5:$B$98,0)),""))</f>
        <v>kg</v>
      </c>
      <c r="J20" s="18" t="n">
        <f aca="false">IF($B20="",0,IFERROR(INDEX('Liste des ingrédients'!$H$5:$H$98,MATCH($B20,'Liste des ingrédients'!$B$5:$B$98,0)),0))</f>
        <v>18</v>
      </c>
      <c r="K20" s="18" t="n">
        <f aca="false">IF($B20="",0,H20*J20)</f>
        <v>10.8</v>
      </c>
      <c r="L20" s="13"/>
      <c r="N20" s="13" t="n">
        <f aca="false">IF($O20="","",12)</f>
        <v>12</v>
      </c>
      <c r="O20" s="13" t="str">
        <f aca="false">IF('Hygiène &amp; entretien'!B19="","",'Hygiène &amp; entretien'!B19)</f>
        <v>Nettoyant sol</v>
      </c>
      <c r="P20" s="14" t="str">
        <f aca="false">IF(O20="","",'Hygiène &amp; entretien'!C19&amp;"")</f>
        <v>صابون القاعة (saboun el gaa3a)</v>
      </c>
      <c r="Q20" s="13" t="str">
        <f aca="false">IF(O20="","",'Hygiène &amp; entretien'!D19&amp;"")</f>
        <v>bidon 3 L</v>
      </c>
      <c r="R20" s="13" t="n">
        <f aca="false">IF(O20="",0,IF('Hygiène &amp; entretien'!E19="Oui",N('Hygiène &amp; entretien'!F19),0))</f>
        <v>1</v>
      </c>
      <c r="S20" s="19"/>
      <c r="T20" s="20" t="n">
        <f aca="false">IF(S20="",R20,S20)</f>
        <v>1</v>
      </c>
      <c r="U20" s="18" t="n">
        <f aca="false">IF(O20="",0,N('Hygiène &amp; entretien'!G19))</f>
        <v>6.62</v>
      </c>
      <c r="V20" s="18" t="n">
        <f aca="false">T20*U20</f>
        <v>6.62</v>
      </c>
      <c r="W20" s="13"/>
    </row>
    <row r="21" customFormat="false" ht="15" hidden="false" customHeight="false" outlineLevel="0" collapsed="false">
      <c r="A21" s="13" t="n">
        <f aca="false">IF($B21="","",13)</f>
        <v>13</v>
      </c>
      <c r="B21" s="13" t="str">
        <f aca="false">IF(Listes!A13="","",Listes!A13)</f>
        <v>Thon en boîte (160 g)</v>
      </c>
      <c r="C21" s="14" t="str">
        <f aca="false">IF($B21="","",IFERROR(INDEX('Liste des ingrédients'!$C$5:$C$98,MATCH($B21,'Liste des ingrédients'!$B$5:$B$98,0)),""))</f>
        <v>تن (ton)</v>
      </c>
      <c r="D21" s="15" t="n">
        <f aca="false">IF($B21="","",Listes!E13)</f>
        <v>6</v>
      </c>
      <c r="E21" s="13" t="str">
        <f aca="false">IF($B21="","",IF(I21="kg","g",IF(I21="L","ml",I21)))</f>
        <v>boîte</v>
      </c>
      <c r="F21" s="15" t="n">
        <f aca="false">IF($B21="",0,IF(OR(I21="kg",I21="L"),ROUND(D21/1000,3),ROUNDUP(D21,0)))</f>
        <v>6</v>
      </c>
      <c r="G21" s="16"/>
      <c r="H21" s="17" t="n">
        <f aca="false">IF(G21="",F21,G21)</f>
        <v>6</v>
      </c>
      <c r="I21" s="13" t="str">
        <f aca="false">IF($B21="","",IFERROR(INDEX('Liste des ingrédients'!$G$5:$G$98,MATCH($B21,'Liste des ingrédients'!$B$5:$B$98,0)),""))</f>
        <v>boîte</v>
      </c>
      <c r="J21" s="18" t="n">
        <f aca="false">IF($B21="",0,IFERROR(INDEX('Liste des ingrédients'!$H$5:$H$98,MATCH($B21,'Liste des ingrédients'!$B$5:$B$98,0)),0))</f>
        <v>4.5</v>
      </c>
      <c r="K21" s="18" t="n">
        <f aca="false">IF($B21="",0,H21*J21)</f>
        <v>27</v>
      </c>
      <c r="L21" s="13"/>
      <c r="N21" s="13" t="n">
        <f aca="false">IF($O21="","",13)</f>
        <v>13</v>
      </c>
      <c r="O21" s="13" t="str">
        <f aca="false">IF('Hygiène &amp; entretien'!B20="","",'Hygiène &amp; entretien'!B20)</f>
        <v>Lessive en poudre (machine)</v>
      </c>
      <c r="P21" s="14" t="str">
        <f aca="false">IF(O21="","",'Hygiène &amp; entretien'!C20&amp;"")</f>
        <v>صابون ماكينة (saboun makina)</v>
      </c>
      <c r="Q21" s="13" t="str">
        <f aca="false">IF(O21="","",'Hygiène &amp; entretien'!D20&amp;"")</f>
        <v>paquet</v>
      </c>
      <c r="R21" s="13" t="n">
        <f aca="false">IF(O21="",0,IF('Hygiène &amp; entretien'!E20="Oui",N('Hygiène &amp; entretien'!F20),0))</f>
        <v>1</v>
      </c>
      <c r="S21" s="19"/>
      <c r="T21" s="20" t="n">
        <f aca="false">IF(S21="",R21,S21)</f>
        <v>1</v>
      </c>
      <c r="U21" s="18" t="n">
        <f aca="false">IF(O21="",0,N('Hygiène &amp; entretien'!G20))</f>
        <v>21.79</v>
      </c>
      <c r="V21" s="18" t="n">
        <f aca="false">T21*U21</f>
        <v>21.79</v>
      </c>
      <c r="W21" s="13"/>
    </row>
    <row r="22" customFormat="false" ht="15" hidden="false" customHeight="false" outlineLevel="0" collapsed="false">
      <c r="A22" s="13" t="n">
        <f aca="false">IF($B22="","",14)</f>
        <v>14</v>
      </c>
      <c r="B22" s="13" t="str">
        <f aca="false">IF(Listes!A14="","",Listes!A14)</f>
        <v>Œufs</v>
      </c>
      <c r="C22" s="14" t="str">
        <f aca="false">IF($B22="","",IFERROR(INDEX('Liste des ingrédients'!$C$5:$C$98,MATCH($B22,'Liste des ingrédients'!$B$5:$B$98,0)),""))</f>
        <v>عظم (3dham)</v>
      </c>
      <c r="D22" s="15" t="n">
        <f aca="false">IF($B22="","",Listes!E14)</f>
        <v>55</v>
      </c>
      <c r="E22" s="13" t="str">
        <f aca="false">IF($B22="","",IF(I22="kg","g",IF(I22="L","ml",I22)))</f>
        <v>œuf</v>
      </c>
      <c r="F22" s="15" t="n">
        <f aca="false">IF($B22="",0,IF(OR(I22="kg",I22="L"),ROUND(D22/1000,3),ROUNDUP(D22,0)))</f>
        <v>55</v>
      </c>
      <c r="G22" s="16"/>
      <c r="H22" s="17" t="n">
        <f aca="false">IF(G22="",F22,G22)</f>
        <v>55</v>
      </c>
      <c r="I22" s="13" t="str">
        <f aca="false">IF($B22="","",IFERROR(INDEX('Liste des ingrédients'!$G$5:$G$98,MATCH($B22,'Liste des ingrédients'!$B$5:$B$98,0)),""))</f>
        <v>œuf</v>
      </c>
      <c r="J22" s="18" t="n">
        <f aca="false">IF($B22="",0,IFERROR(INDEX('Liste des ingrédients'!$H$5:$H$98,MATCH($B22,'Liste des ingrédients'!$B$5:$B$98,0)),0))</f>
        <v>0.3</v>
      </c>
      <c r="K22" s="18" t="n">
        <f aca="false">IF($B22="",0,H22*J22)</f>
        <v>16.5</v>
      </c>
      <c r="L22" s="13"/>
      <c r="N22" s="13" t="n">
        <f aca="false">IF($O22="","",14)</f>
        <v>14</v>
      </c>
      <c r="O22" s="13" t="str">
        <f aca="false">IF('Hygiène &amp; entretien'!B21="","",'Hygiène &amp; entretien'!B21)</f>
        <v>Éponges</v>
      </c>
      <c r="P22" s="14" t="str">
        <f aca="false">IF(O22="","",'Hygiène &amp; entretien'!C21&amp;"")</f>
        <v>سفنجة (sfenja)</v>
      </c>
      <c r="Q22" s="13" t="str">
        <f aca="false">IF(O22="","",'Hygiène &amp; entretien'!D21&amp;"")</f>
        <v>pièce</v>
      </c>
      <c r="R22" s="13" t="n">
        <f aca="false">IF(O22="",0,IF('Hygiène &amp; entretien'!E21="Oui",N('Hygiène &amp; entretien'!F21),0))</f>
        <v>4</v>
      </c>
      <c r="S22" s="19"/>
      <c r="T22" s="20" t="n">
        <f aca="false">IF(S22="",R22,S22)</f>
        <v>4</v>
      </c>
      <c r="U22" s="18" t="n">
        <f aca="false">IF(O22="",0,N('Hygiène &amp; entretien'!G21))</f>
        <v>0.69</v>
      </c>
      <c r="V22" s="18" t="n">
        <f aca="false">T22*U22</f>
        <v>2.76</v>
      </c>
      <c r="W22" s="13"/>
    </row>
    <row r="23" customFormat="false" ht="15" hidden="false" customHeight="false" outlineLevel="0" collapsed="false">
      <c r="A23" s="13" t="n">
        <f aca="false">IF($B23="","",15)</f>
        <v>15</v>
      </c>
      <c r="B23" s="13" t="str">
        <f aca="false">IF(Listes!A15="","",Listes!A15)</f>
        <v>Fromage râpé</v>
      </c>
      <c r="C23" s="14" t="str">
        <f aca="false">IF($B23="","",IFERROR(INDEX('Liste des ingrédients'!$C$5:$C$98,MATCH($B23,'Liste des ingrédients'!$B$5:$B$98,0)),""))</f>
        <v>فرماج مرحي (fromej mra7i)</v>
      </c>
      <c r="D23" s="15" t="n">
        <f aca="false">IF($B23="","",Listes!E15)</f>
        <v>360</v>
      </c>
      <c r="E23" s="13" t="str">
        <f aca="false">IF($B23="","",IF(I23="kg","g",IF(I23="L","ml",I23)))</f>
        <v>g</v>
      </c>
      <c r="F23" s="15" t="n">
        <f aca="false">IF($B23="",0,IF(OR(I23="kg",I23="L"),ROUND(D23/1000,3),ROUNDUP(D23,0)))</f>
        <v>0.36</v>
      </c>
      <c r="G23" s="16"/>
      <c r="H23" s="17" t="n">
        <f aca="false">IF(G23="",F23,G23)</f>
        <v>0.36</v>
      </c>
      <c r="I23" s="13" t="str">
        <f aca="false">IF($B23="","",IFERROR(INDEX('Liste des ingrédients'!$G$5:$G$98,MATCH($B23,'Liste des ingrédients'!$B$5:$B$98,0)),""))</f>
        <v>kg</v>
      </c>
      <c r="J23" s="18" t="n">
        <f aca="false">IF($B23="",0,IFERROR(INDEX('Liste des ingrédients'!$H$5:$H$98,MATCH($B23,'Liste des ingrédients'!$B$5:$B$98,0)),0))</f>
        <v>30</v>
      </c>
      <c r="K23" s="18" t="n">
        <f aca="false">IF($B23="",0,H23*J23)</f>
        <v>10.8</v>
      </c>
      <c r="L23" s="13"/>
      <c r="N23" s="13" t="n">
        <f aca="false">IF($O23="","",15)</f>
        <v>15</v>
      </c>
      <c r="O23" s="13" t="str">
        <f aca="false">IF('Hygiène &amp; entretien'!B22="","",'Hygiène &amp; entretien'!B22)</f>
        <v>Sacs poubelle 70 L</v>
      </c>
      <c r="P23" s="14" t="str">
        <f aca="false">IF(O23="","",'Hygiène &amp; entretien'!C22&amp;"")</f>
        <v>ساشيات زبلة (sachiet zebla)</v>
      </c>
      <c r="Q23" s="13" t="str">
        <f aca="false">IF(O23="","",'Hygiène &amp; entretien'!D22&amp;"")</f>
        <v>rouleau de 10</v>
      </c>
      <c r="R23" s="13" t="n">
        <f aca="false">IF(O23="",0,IF('Hygiène &amp; entretien'!E22="Oui",N('Hygiène &amp; entretien'!F22),0))</f>
        <v>3</v>
      </c>
      <c r="S23" s="19"/>
      <c r="T23" s="20" t="n">
        <f aca="false">IF(S23="",R23,S23)</f>
        <v>3</v>
      </c>
      <c r="U23" s="18" t="n">
        <f aca="false">IF(O23="",0,N('Hygiène &amp; entretien'!G22))</f>
        <v>2.15</v>
      </c>
      <c r="V23" s="18" t="n">
        <f aca="false">T23*U23</f>
        <v>6.45</v>
      </c>
      <c r="W23" s="13"/>
    </row>
    <row r="24" customFormat="false" ht="15" hidden="false" customHeight="false" outlineLevel="0" collapsed="false">
      <c r="A24" s="13" t="n">
        <f aca="false">IF($B24="","",16)</f>
        <v>16</v>
      </c>
      <c r="B24" s="13" t="str">
        <f aca="false">IF(Listes!A16="","",Listes!A16)</f>
        <v>Pommes de terre</v>
      </c>
      <c r="C24" s="14" t="str">
        <f aca="false">IF($B24="","",IFERROR(INDEX('Liste des ingrédients'!$C$5:$C$98,MATCH($B24,'Liste des ingrédients'!$B$5:$B$98,0)),""))</f>
        <v>بطاطا (batata)</v>
      </c>
      <c r="D24" s="15" t="n">
        <f aca="false">IF($B24="","",Listes!E16)</f>
        <v>5700</v>
      </c>
      <c r="E24" s="13" t="str">
        <f aca="false">IF($B24="","",IF(I24="kg","g",IF(I24="L","ml",I24)))</f>
        <v>g</v>
      </c>
      <c r="F24" s="15" t="n">
        <f aca="false">IF($B24="",0,IF(OR(I24="kg",I24="L"),ROUND(D24/1000,3),ROUNDUP(D24,0)))</f>
        <v>5.7</v>
      </c>
      <c r="G24" s="16"/>
      <c r="H24" s="17" t="n">
        <f aca="false">IF(G24="",F24,G24)</f>
        <v>5.7</v>
      </c>
      <c r="I24" s="13" t="str">
        <f aca="false">IF($B24="","",IFERROR(INDEX('Liste des ingrédients'!$G$5:$G$98,MATCH($B24,'Liste des ingrédients'!$B$5:$B$98,0)),""))</f>
        <v>kg</v>
      </c>
      <c r="J24" s="18" t="n">
        <f aca="false">IF($B24="",0,IFERROR(INDEX('Liste des ingrédients'!$H$5:$H$98,MATCH($B24,'Liste des ingrédients'!$B$5:$B$98,0)),0))</f>
        <v>2.5</v>
      </c>
      <c r="K24" s="18" t="n">
        <f aca="false">IF($B24="",0,H24*J24)</f>
        <v>14.25</v>
      </c>
      <c r="L24" s="13"/>
      <c r="N24" s="13" t="n">
        <f aca="false">IF($O24="","",16)</f>
        <v>16</v>
      </c>
      <c r="O24" s="13" t="str">
        <f aca="false">IF('Hygiène &amp; entretien'!B23="","",'Hygiène &amp; entretien'!B23)</f>
        <v>Serviettes de table</v>
      </c>
      <c r="P24" s="14" t="str">
        <f aca="false">IF(O24="","",'Hygiène &amp; entretien'!C23&amp;"")</f>
        <v>محارم (m7arem)</v>
      </c>
      <c r="Q24" s="13" t="str">
        <f aca="false">IF(O24="","",'Hygiène &amp; entretien'!D23&amp;"")</f>
        <v>paquet de 90</v>
      </c>
      <c r="R24" s="13" t="n">
        <f aca="false">IF(O24="",0,IF('Hygiène &amp; entretien'!E23="Oui",N('Hygiène &amp; entretien'!F23),0))</f>
        <v>1</v>
      </c>
      <c r="S24" s="19"/>
      <c r="T24" s="20" t="n">
        <f aca="false">IF(S24="",R24,S24)</f>
        <v>1</v>
      </c>
      <c r="U24" s="18" t="n">
        <f aca="false">IF(O24="",0,N('Hygiène &amp; entretien'!G23))</f>
        <v>3.06</v>
      </c>
      <c r="V24" s="18" t="n">
        <f aca="false">T24*U24</f>
        <v>3.06</v>
      </c>
      <c r="W24" s="13"/>
    </row>
    <row r="25" customFormat="false" ht="15" hidden="false" customHeight="false" outlineLevel="0" collapsed="false">
      <c r="A25" s="13" t="n">
        <f aca="false">IF($B25="","",17)</f>
        <v>17</v>
      </c>
      <c r="B25" s="13" t="str">
        <f aca="false">IF(Listes!A17="","",Listes!A17)</f>
        <v>Tomates</v>
      </c>
      <c r="C25" s="14" t="str">
        <f aca="false">IF($B25="","",IFERROR(INDEX('Liste des ingrédients'!$C$5:$C$98,MATCH($B25,'Liste des ingrédients'!$B$5:$B$98,0)),""))</f>
        <v>طماطم (tmatem)</v>
      </c>
      <c r="D25" s="15" t="n">
        <f aca="false">IF($B25="","",Listes!E17)</f>
        <v>4650</v>
      </c>
      <c r="E25" s="13" t="str">
        <f aca="false">IF($B25="","",IF(I25="kg","g",IF(I25="L","ml",I25)))</f>
        <v>g</v>
      </c>
      <c r="F25" s="15" t="n">
        <f aca="false">IF($B25="",0,IF(OR(I25="kg",I25="L"),ROUND(D25/1000,3),ROUNDUP(D25,0)))</f>
        <v>4.65</v>
      </c>
      <c r="G25" s="16"/>
      <c r="H25" s="17" t="n">
        <f aca="false">IF(G25="",F25,G25)</f>
        <v>4.65</v>
      </c>
      <c r="I25" s="13" t="str">
        <f aca="false">IF($B25="","",IFERROR(INDEX('Liste des ingrédients'!$G$5:$G$98,MATCH($B25,'Liste des ingrédients'!$B$5:$B$98,0)),""))</f>
        <v>kg</v>
      </c>
      <c r="J25" s="18" t="n">
        <f aca="false">IF($B25="",0,IFERROR(INDEX('Liste des ingrédients'!$H$5:$H$98,MATCH($B25,'Liste des ingrédients'!$B$5:$B$98,0)),0))</f>
        <v>2</v>
      </c>
      <c r="K25" s="18" t="n">
        <f aca="false">IF($B25="",0,H25*J25)</f>
        <v>9.3</v>
      </c>
      <c r="L25" s="13"/>
      <c r="N25" s="13" t="str">
        <f aca="false">IF($O25="","",17)</f>
        <v/>
      </c>
      <c r="O25" s="13" t="str">
        <f aca="false">IF('Hygiène &amp; entretien'!B26="","",'Hygiène &amp; entretien'!B26)</f>
        <v/>
      </c>
      <c r="P25" s="14" t="str">
        <f aca="false">IF(O25="","",'Hygiène &amp; entretien'!C26&amp;"")</f>
        <v/>
      </c>
      <c r="Q25" s="13" t="str">
        <f aca="false">IF(O25="","",'Hygiène &amp; entretien'!D26&amp;"")</f>
        <v/>
      </c>
      <c r="R25" s="13" t="n">
        <f aca="false">IF(O25="",0,IF('Hygiène &amp; entretien'!E26="Oui",N('Hygiène &amp; entretien'!F26),0))</f>
        <v>0</v>
      </c>
      <c r="S25" s="19"/>
      <c r="T25" s="20" t="n">
        <f aca="false">IF(S25="",R25,S25)</f>
        <v>0</v>
      </c>
      <c r="U25" s="18" t="n">
        <f aca="false">IF(O25="",0,N('Hygiène &amp; entretien'!G26))</f>
        <v>0</v>
      </c>
      <c r="V25" s="18" t="n">
        <f aca="false">T25*U25</f>
        <v>0</v>
      </c>
      <c r="W25" s="13"/>
    </row>
    <row r="26" customFormat="false" ht="15" hidden="false" customHeight="false" outlineLevel="0" collapsed="false">
      <c r="A26" s="13" t="n">
        <f aca="false">IF($B26="","",18)</f>
        <v>18</v>
      </c>
      <c r="B26" s="13" t="str">
        <f aca="false">IF(Listes!A18="","",Listes!A18)</f>
        <v>Oignons</v>
      </c>
      <c r="C26" s="14" t="str">
        <f aca="false">IF($B26="","",IFERROR(INDEX('Liste des ingrédients'!$C$5:$C$98,MATCH($B26,'Liste des ingrédients'!$B$5:$B$98,0)),""))</f>
        <v>بصل (bsal)</v>
      </c>
      <c r="D26" s="15" t="n">
        <f aca="false">IF($B26="","",Listes!E18)</f>
        <v>2500</v>
      </c>
      <c r="E26" s="13" t="str">
        <f aca="false">IF($B26="","",IF(I26="kg","g",IF(I26="L","ml",I26)))</f>
        <v>g</v>
      </c>
      <c r="F26" s="15" t="n">
        <f aca="false">IF($B26="",0,IF(OR(I26="kg",I26="L"),ROUND(D26/1000,3),ROUNDUP(D26,0)))</f>
        <v>2.5</v>
      </c>
      <c r="G26" s="16"/>
      <c r="H26" s="17" t="n">
        <f aca="false">IF(G26="",F26,G26)</f>
        <v>2.5</v>
      </c>
      <c r="I26" s="13" t="str">
        <f aca="false">IF($B26="","",IFERROR(INDEX('Liste des ingrédients'!$G$5:$G$98,MATCH($B26,'Liste des ingrédients'!$B$5:$B$98,0)),""))</f>
        <v>kg</v>
      </c>
      <c r="J26" s="18" t="n">
        <f aca="false">IF($B26="",0,IFERROR(INDEX('Liste des ingrédients'!$H$5:$H$98,MATCH($B26,'Liste des ingrédients'!$B$5:$B$98,0)),0))</f>
        <v>1.2</v>
      </c>
      <c r="K26" s="18" t="n">
        <f aca="false">IF($B26="",0,H26*J26)</f>
        <v>3</v>
      </c>
      <c r="L26" s="13"/>
      <c r="N26" s="13" t="str">
        <f aca="false">IF($O26="","",18)</f>
        <v/>
      </c>
      <c r="O26" s="13" t="str">
        <f aca="false">IF('Hygiène &amp; entretien'!B27="","",'Hygiène &amp; entretien'!B27)</f>
        <v/>
      </c>
      <c r="P26" s="14" t="str">
        <f aca="false">IF(O26="","",'Hygiène &amp; entretien'!C27&amp;"")</f>
        <v/>
      </c>
      <c r="Q26" s="13" t="str">
        <f aca="false">IF(O26="","",'Hygiène &amp; entretien'!D27&amp;"")</f>
        <v/>
      </c>
      <c r="R26" s="13" t="n">
        <f aca="false">IF(O26="",0,IF('Hygiène &amp; entretien'!E27="Oui",N('Hygiène &amp; entretien'!F27),0))</f>
        <v>0</v>
      </c>
      <c r="S26" s="19"/>
      <c r="T26" s="20" t="n">
        <f aca="false">IF(S26="",R26,S26)</f>
        <v>0</v>
      </c>
      <c r="U26" s="18" t="n">
        <f aca="false">IF(O26="",0,N('Hygiène &amp; entretien'!G27))</f>
        <v>0</v>
      </c>
      <c r="V26" s="18" t="n">
        <f aca="false">T26*U26</f>
        <v>0</v>
      </c>
      <c r="W26" s="13"/>
    </row>
    <row r="27" customFormat="false" ht="15" hidden="false" customHeight="false" outlineLevel="0" collapsed="false">
      <c r="A27" s="13" t="n">
        <f aca="false">IF($B27="","",19)</f>
        <v>19</v>
      </c>
      <c r="B27" s="13" t="str">
        <f aca="false">IF(Listes!A19="","",Listes!A19)</f>
        <v>Ail</v>
      </c>
      <c r="C27" s="14" t="str">
        <f aca="false">IF($B27="","",IFERROR(INDEX('Liste des ingrédients'!$C$5:$C$98,MATCH($B27,'Liste des ingrédients'!$B$5:$B$98,0)),""))</f>
        <v>ثوم (thoum)</v>
      </c>
      <c r="D27" s="15" t="n">
        <f aca="false">IF($B27="","",Listes!E19)</f>
        <v>370</v>
      </c>
      <c r="E27" s="13" t="str">
        <f aca="false">IF($B27="","",IF(I27="kg","g",IF(I27="L","ml",I27)))</f>
        <v>g</v>
      </c>
      <c r="F27" s="15" t="n">
        <f aca="false">IF($B27="",0,IF(OR(I27="kg",I27="L"),ROUND(D27/1000,3),ROUNDUP(D27,0)))</f>
        <v>0.37</v>
      </c>
      <c r="G27" s="16"/>
      <c r="H27" s="17" t="n">
        <f aca="false">IF(G27="",F27,G27)</f>
        <v>0.37</v>
      </c>
      <c r="I27" s="13" t="str">
        <f aca="false">IF($B27="","",IFERROR(INDEX('Liste des ingrédients'!$G$5:$G$98,MATCH($B27,'Liste des ingrédients'!$B$5:$B$98,0)),""))</f>
        <v>kg</v>
      </c>
      <c r="J27" s="18" t="n">
        <f aca="false">IF($B27="",0,IFERROR(INDEX('Liste des ingrédients'!$H$5:$H$98,MATCH($B27,'Liste des ingrédients'!$B$5:$B$98,0)),0))</f>
        <v>15</v>
      </c>
      <c r="K27" s="18" t="n">
        <f aca="false">IF($B27="",0,H27*J27)</f>
        <v>5.55</v>
      </c>
      <c r="L27" s="13"/>
      <c r="N27" s="13" t="str">
        <f aca="false">IF($O27="","",19)</f>
        <v/>
      </c>
      <c r="O27" s="13" t="str">
        <f aca="false">IF('Hygiène &amp; entretien'!B28="","",'Hygiène &amp; entretien'!B28)</f>
        <v/>
      </c>
      <c r="P27" s="14" t="str">
        <f aca="false">IF(O27="","",'Hygiène &amp; entretien'!C28&amp;"")</f>
        <v/>
      </c>
      <c r="Q27" s="13" t="str">
        <f aca="false">IF(O27="","",'Hygiène &amp; entretien'!D28&amp;"")</f>
        <v/>
      </c>
      <c r="R27" s="13" t="n">
        <f aca="false">IF(O27="",0,IF('Hygiène &amp; entretien'!E28="Oui",N('Hygiène &amp; entretien'!F28),0))</f>
        <v>0</v>
      </c>
      <c r="S27" s="19"/>
      <c r="T27" s="20" t="n">
        <f aca="false">IF(S27="",R27,S27)</f>
        <v>0</v>
      </c>
      <c r="U27" s="18" t="n">
        <f aca="false">IF(O27="",0,N('Hygiène &amp; entretien'!G28))</f>
        <v>0</v>
      </c>
      <c r="V27" s="18" t="n">
        <f aca="false">T27*U27</f>
        <v>0</v>
      </c>
      <c r="W27" s="13"/>
    </row>
    <row r="28" customFormat="false" ht="15" hidden="false" customHeight="false" outlineLevel="0" collapsed="false">
      <c r="A28" s="13" t="n">
        <f aca="false">IF($B28="","",20)</f>
        <v>20</v>
      </c>
      <c r="B28" s="13" t="str">
        <f aca="false">IF(Listes!A20="","",Listes!A20)</f>
        <v>Carottes</v>
      </c>
      <c r="C28" s="14" t="str">
        <f aca="false">IF($B28="","",IFERROR(INDEX('Liste des ingrédients'!$C$5:$C$98,MATCH($B28,'Liste des ingrédients'!$B$5:$B$98,0)),""))</f>
        <v>سفنارية (sfenarya)</v>
      </c>
      <c r="D28" s="15" t="n">
        <f aca="false">IF($B28="","",Listes!E20)</f>
        <v>1500</v>
      </c>
      <c r="E28" s="13" t="str">
        <f aca="false">IF($B28="","",IF(I28="kg","g",IF(I28="L","ml",I28)))</f>
        <v>g</v>
      </c>
      <c r="F28" s="15" t="n">
        <f aca="false">IF($B28="",0,IF(OR(I28="kg",I28="L"),ROUND(D28/1000,3),ROUNDUP(D28,0)))</f>
        <v>1.5</v>
      </c>
      <c r="G28" s="16"/>
      <c r="H28" s="17" t="n">
        <f aca="false">IF(G28="",F28,G28)</f>
        <v>1.5</v>
      </c>
      <c r="I28" s="13" t="str">
        <f aca="false">IF($B28="","",IFERROR(INDEX('Liste des ingrédients'!$G$5:$G$98,MATCH($B28,'Liste des ingrédients'!$B$5:$B$98,0)),""))</f>
        <v>kg</v>
      </c>
      <c r="J28" s="18" t="n">
        <f aca="false">IF($B28="",0,IFERROR(INDEX('Liste des ingrédients'!$H$5:$H$98,MATCH($B28,'Liste des ingrédients'!$B$5:$B$98,0)),0))</f>
        <v>2.5</v>
      </c>
      <c r="K28" s="18" t="n">
        <f aca="false">IF($B28="",0,H28*J28)</f>
        <v>3.75</v>
      </c>
      <c r="L28" s="13"/>
      <c r="N28" s="13" t="str">
        <f aca="false">IF($O28="","",20)</f>
        <v/>
      </c>
      <c r="O28" s="13" t="str">
        <f aca="false">IF('Hygiène &amp; entretien'!B29="","",'Hygiène &amp; entretien'!B29)</f>
        <v/>
      </c>
      <c r="P28" s="14" t="str">
        <f aca="false">IF(O28="","",'Hygiène &amp; entretien'!C29&amp;"")</f>
        <v/>
      </c>
      <c r="Q28" s="13" t="str">
        <f aca="false">IF(O28="","",'Hygiène &amp; entretien'!D29&amp;"")</f>
        <v/>
      </c>
      <c r="R28" s="13" t="n">
        <f aca="false">IF(O28="",0,IF('Hygiène &amp; entretien'!E29="Oui",N('Hygiène &amp; entretien'!F29),0))</f>
        <v>0</v>
      </c>
      <c r="S28" s="19"/>
      <c r="T28" s="20" t="n">
        <f aca="false">IF(S28="",R28,S28)</f>
        <v>0</v>
      </c>
      <c r="U28" s="18" t="n">
        <f aca="false">IF(O28="",0,N('Hygiène &amp; entretien'!G29))</f>
        <v>0</v>
      </c>
      <c r="V28" s="18" t="n">
        <f aca="false">T28*U28</f>
        <v>0</v>
      </c>
      <c r="W28" s="13"/>
    </row>
    <row r="29" customFormat="false" ht="15" hidden="false" customHeight="false" outlineLevel="0" collapsed="false">
      <c r="A29" s="13" t="n">
        <f aca="false">IF($B29="","",21)</f>
        <v>21</v>
      </c>
      <c r="B29" s="13" t="str">
        <f aca="false">IF(Listes!A21="","",Listes!A21)</f>
        <v>Courgettes</v>
      </c>
      <c r="C29" s="14" t="str">
        <f aca="false">IF($B29="","",IFERROR(INDEX('Liste des ingrédients'!$C$5:$C$98,MATCH($B29,'Liste des ingrédients'!$B$5:$B$98,0)),""))</f>
        <v>قرع (gar3)</v>
      </c>
      <c r="D29" s="15" t="n">
        <f aca="false">IF($B29="","",Listes!E21)</f>
        <v>1800</v>
      </c>
      <c r="E29" s="13" t="str">
        <f aca="false">IF($B29="","",IF(I29="kg","g",IF(I29="L","ml",I29)))</f>
        <v>g</v>
      </c>
      <c r="F29" s="15" t="n">
        <f aca="false">IF($B29="",0,IF(OR(I29="kg",I29="L"),ROUND(D29/1000,3),ROUNDUP(D29,0)))</f>
        <v>1.8</v>
      </c>
      <c r="G29" s="16"/>
      <c r="H29" s="17" t="n">
        <f aca="false">IF(G29="",F29,G29)</f>
        <v>1.8</v>
      </c>
      <c r="I29" s="13" t="str">
        <f aca="false">IF($B29="","",IFERROR(INDEX('Liste des ingrédients'!$G$5:$G$98,MATCH($B29,'Liste des ingrédients'!$B$5:$B$98,0)),""))</f>
        <v>kg</v>
      </c>
      <c r="J29" s="18" t="n">
        <f aca="false">IF($B29="",0,IFERROR(INDEX('Liste des ingrédients'!$H$5:$H$98,MATCH($B29,'Liste des ingrédients'!$B$5:$B$98,0)),0))</f>
        <v>2</v>
      </c>
      <c r="K29" s="18" t="n">
        <f aca="false">IF($B29="",0,H29*J29)</f>
        <v>3.6</v>
      </c>
      <c r="L29" s="13"/>
      <c r="N29" s="13" t="str">
        <f aca="false">IF($O29="","",21)</f>
        <v/>
      </c>
      <c r="O29" s="13" t="str">
        <f aca="false">IF('Hygiène &amp; entretien'!B30="","",'Hygiène &amp; entretien'!B30)</f>
        <v/>
      </c>
      <c r="P29" s="14" t="str">
        <f aca="false">IF(O29="","",'Hygiène &amp; entretien'!C30&amp;"")</f>
        <v/>
      </c>
      <c r="Q29" s="13" t="str">
        <f aca="false">IF(O29="","",'Hygiène &amp; entretien'!D30&amp;"")</f>
        <v/>
      </c>
      <c r="R29" s="13" t="n">
        <f aca="false">IF(O29="",0,IF('Hygiène &amp; entretien'!E30="Oui",N('Hygiène &amp; entretien'!F30),0))</f>
        <v>0</v>
      </c>
      <c r="S29" s="19"/>
      <c r="T29" s="20" t="n">
        <f aca="false">IF(S29="",R29,S29)</f>
        <v>0</v>
      </c>
      <c r="U29" s="18" t="n">
        <f aca="false">IF(O29="",0,N('Hygiène &amp; entretien'!G30))</f>
        <v>0</v>
      </c>
      <c r="V29" s="18" t="n">
        <f aca="false">T29*U29</f>
        <v>0</v>
      </c>
      <c r="W29" s="13"/>
    </row>
    <row r="30" customFormat="false" ht="15" hidden="false" customHeight="false" outlineLevel="0" collapsed="false">
      <c r="A30" s="13" t="n">
        <f aca="false">IF($B30="","",22)</f>
        <v>22</v>
      </c>
      <c r="B30" s="13" t="str">
        <f aca="false">IF(Listes!A22="","",Listes!A22)</f>
        <v>Poivrons</v>
      </c>
      <c r="C30" s="14" t="str">
        <f aca="false">IF($B30="","",IFERROR(INDEX('Liste des ingrédients'!$C$5:$C$98,MATCH($B30,'Liste des ingrédients'!$B$5:$B$98,0)),""))</f>
        <v>فلفل حلو (felfel 7lou)</v>
      </c>
      <c r="D30" s="15" t="n">
        <f aca="false">IF($B30="","",Listes!E22)</f>
        <v>1600</v>
      </c>
      <c r="E30" s="13" t="str">
        <f aca="false">IF($B30="","",IF(I30="kg","g",IF(I30="L","ml",I30)))</f>
        <v>g</v>
      </c>
      <c r="F30" s="15" t="n">
        <f aca="false">IF($B30="",0,IF(OR(I30="kg",I30="L"),ROUND(D30/1000,3),ROUNDUP(D30,0)))</f>
        <v>1.6</v>
      </c>
      <c r="G30" s="16"/>
      <c r="H30" s="17" t="n">
        <f aca="false">IF(G30="",F30,G30)</f>
        <v>1.6</v>
      </c>
      <c r="I30" s="13" t="str">
        <f aca="false">IF($B30="","",IFERROR(INDEX('Liste des ingrédients'!$G$5:$G$98,MATCH($B30,'Liste des ingrédients'!$B$5:$B$98,0)),""))</f>
        <v>kg</v>
      </c>
      <c r="J30" s="18" t="n">
        <f aca="false">IF($B30="",0,IFERROR(INDEX('Liste des ingrédients'!$H$5:$H$98,MATCH($B30,'Liste des ingrédients'!$B$5:$B$98,0)),0))</f>
        <v>2.5</v>
      </c>
      <c r="K30" s="18" t="n">
        <f aca="false">IF($B30="",0,H30*J30)</f>
        <v>4</v>
      </c>
      <c r="L30" s="13"/>
      <c r="N30" s="13" t="str">
        <f aca="false">IF($O30="","",22)</f>
        <v/>
      </c>
      <c r="O30" s="13" t="str">
        <f aca="false">IF('Hygiène &amp; entretien'!B31="","",'Hygiène &amp; entretien'!B31)</f>
        <v/>
      </c>
      <c r="P30" s="14" t="str">
        <f aca="false">IF(O30="","",'Hygiène &amp; entretien'!C31&amp;"")</f>
        <v/>
      </c>
      <c r="Q30" s="13" t="str">
        <f aca="false">IF(O30="","",'Hygiène &amp; entretien'!D31&amp;"")</f>
        <v/>
      </c>
      <c r="R30" s="13" t="n">
        <f aca="false">IF(O30="",0,IF('Hygiène &amp; entretien'!E31="Oui",N('Hygiène &amp; entretien'!F31),0))</f>
        <v>0</v>
      </c>
      <c r="S30" s="19"/>
      <c r="T30" s="20" t="n">
        <f aca="false">IF(S30="",R30,S30)</f>
        <v>0</v>
      </c>
      <c r="U30" s="18" t="n">
        <f aca="false">IF(O30="",0,N('Hygiène &amp; entretien'!G31))</f>
        <v>0</v>
      </c>
      <c r="V30" s="18" t="n">
        <f aca="false">T30*U30</f>
        <v>0</v>
      </c>
      <c r="W30" s="13"/>
    </row>
    <row r="31" customFormat="false" ht="15" hidden="false" customHeight="false" outlineLevel="0" collapsed="false">
      <c r="A31" s="13" t="n">
        <f aca="false">IF($B31="","",23)</f>
        <v>23</v>
      </c>
      <c r="B31" s="13" t="str">
        <f aca="false">IF(Listes!A23="","",Listes!A23)</f>
        <v>Piments verts</v>
      </c>
      <c r="C31" s="14" t="str">
        <f aca="false">IF($B31="","",IFERROR(INDEX('Liste des ingrédients'!$C$5:$C$98,MATCH($B31,'Liste des ingrédients'!$B$5:$B$98,0)),""))</f>
        <v>فلفل أخضر (felfel akhdhar)</v>
      </c>
      <c r="D31" s="15" t="n">
        <f aca="false">IF($B31="","",Listes!E23)</f>
        <v>480</v>
      </c>
      <c r="E31" s="13" t="str">
        <f aca="false">IF($B31="","",IF(I31="kg","g",IF(I31="L","ml",I31)))</f>
        <v>g</v>
      </c>
      <c r="F31" s="15" t="n">
        <f aca="false">IF($B31="",0,IF(OR(I31="kg",I31="L"),ROUND(D31/1000,3),ROUNDUP(D31,0)))</f>
        <v>0.48</v>
      </c>
      <c r="G31" s="16"/>
      <c r="H31" s="17" t="n">
        <f aca="false">IF(G31="",F31,G31)</f>
        <v>0.48</v>
      </c>
      <c r="I31" s="13" t="str">
        <f aca="false">IF($B31="","",IFERROR(INDEX('Liste des ingrédients'!$G$5:$G$98,MATCH($B31,'Liste des ingrédients'!$B$5:$B$98,0)),""))</f>
        <v>kg</v>
      </c>
      <c r="J31" s="18" t="n">
        <f aca="false">IF($B31="",0,IFERROR(INDEX('Liste des ingrédients'!$H$5:$H$98,MATCH($B31,'Liste des ingrédients'!$B$5:$B$98,0)),0))</f>
        <v>2.5</v>
      </c>
      <c r="K31" s="18" t="n">
        <f aca="false">IF($B31="",0,H31*J31)</f>
        <v>1.2</v>
      </c>
      <c r="L31" s="13"/>
      <c r="N31" s="13" t="str">
        <f aca="false">IF($O31="","",23)</f>
        <v/>
      </c>
      <c r="O31" s="13" t="str">
        <f aca="false">IF('Hygiène &amp; entretien'!B32="","",'Hygiène &amp; entretien'!B32)</f>
        <v/>
      </c>
      <c r="P31" s="14" t="str">
        <f aca="false">IF(O31="","",'Hygiène &amp; entretien'!C32&amp;"")</f>
        <v/>
      </c>
      <c r="Q31" s="13" t="str">
        <f aca="false">IF(O31="","",'Hygiène &amp; entretien'!D32&amp;"")</f>
        <v/>
      </c>
      <c r="R31" s="13" t="n">
        <f aca="false">IF(O31="",0,IF('Hygiène &amp; entretien'!E32="Oui",N('Hygiène &amp; entretien'!F32),0))</f>
        <v>0</v>
      </c>
      <c r="S31" s="19"/>
      <c r="T31" s="20" t="n">
        <f aca="false">IF(S31="",R31,S31)</f>
        <v>0</v>
      </c>
      <c r="U31" s="18" t="n">
        <f aca="false">IF(O31="",0,N('Hygiène &amp; entretien'!G32))</f>
        <v>0</v>
      </c>
      <c r="V31" s="18" t="n">
        <f aca="false">T31*U31</f>
        <v>0</v>
      </c>
      <c r="W31" s="13"/>
    </row>
    <row r="32" customFormat="false" ht="15" hidden="false" customHeight="false" outlineLevel="0" collapsed="false">
      <c r="A32" s="13" t="n">
        <f aca="false">IF($B32="","",24)</f>
        <v>24</v>
      </c>
      <c r="B32" s="13" t="str">
        <f aca="false">IF(Listes!A24="","",Listes!A24)</f>
        <v>Piments forts</v>
      </c>
      <c r="C32" s="14" t="str">
        <f aca="false">IF($B32="","",IFERROR(INDEX('Liste des ingrédients'!$C$5:$C$98,MATCH($B32,'Liste des ingrédients'!$B$5:$B$98,0)),""))</f>
        <v>فلفل حار (felfel 7arr)</v>
      </c>
      <c r="D32" s="15" t="n">
        <f aca="false">IF($B32="","",Listes!E24)</f>
        <v>65</v>
      </c>
      <c r="E32" s="13" t="str">
        <f aca="false">IF($B32="","",IF(I32="kg","g",IF(I32="L","ml",I32)))</f>
        <v>g</v>
      </c>
      <c r="F32" s="15" t="n">
        <f aca="false">IF($B32="",0,IF(OR(I32="kg",I32="L"),ROUND(D32/1000,3),ROUNDUP(D32,0)))</f>
        <v>0.065</v>
      </c>
      <c r="G32" s="16"/>
      <c r="H32" s="17" t="n">
        <f aca="false">IF(G32="",F32,G32)</f>
        <v>0.065</v>
      </c>
      <c r="I32" s="13" t="str">
        <f aca="false">IF($B32="","",IFERROR(INDEX('Liste des ingrédients'!$G$5:$G$98,MATCH($B32,'Liste des ingrédients'!$B$5:$B$98,0)),""))</f>
        <v>kg</v>
      </c>
      <c r="J32" s="18" t="n">
        <f aca="false">IF($B32="",0,IFERROR(INDEX('Liste des ingrédients'!$H$5:$H$98,MATCH($B32,'Liste des ingrédients'!$B$5:$B$98,0)),0))</f>
        <v>3.3</v>
      </c>
      <c r="K32" s="18" t="n">
        <f aca="false">IF($B32="",0,H32*J32)</f>
        <v>0.2145</v>
      </c>
      <c r="L32" s="13"/>
      <c r="N32" s="13" t="str">
        <f aca="false">IF($O32="","",24)</f>
        <v/>
      </c>
      <c r="O32" s="13" t="str">
        <f aca="false">IF('Hygiène &amp; entretien'!B33="","",'Hygiène &amp; entretien'!B33)</f>
        <v/>
      </c>
      <c r="P32" s="14" t="str">
        <f aca="false">IF(O32="","",'Hygiène &amp; entretien'!C33&amp;"")</f>
        <v/>
      </c>
      <c r="Q32" s="13" t="str">
        <f aca="false">IF(O32="","",'Hygiène &amp; entretien'!D33&amp;"")</f>
        <v/>
      </c>
      <c r="R32" s="13" t="n">
        <f aca="false">IF(O32="",0,IF('Hygiène &amp; entretien'!E33="Oui",N('Hygiène &amp; entretien'!F33),0))</f>
        <v>0</v>
      </c>
      <c r="S32" s="19"/>
      <c r="T32" s="20" t="n">
        <f aca="false">IF(S32="",R32,S32)</f>
        <v>0</v>
      </c>
      <c r="U32" s="18" t="n">
        <f aca="false">IF(O32="",0,N('Hygiène &amp; entretien'!G33))</f>
        <v>0</v>
      </c>
      <c r="V32" s="18" t="n">
        <f aca="false">T32*U32</f>
        <v>0</v>
      </c>
      <c r="W32" s="13"/>
    </row>
    <row r="33" customFormat="false" ht="15" hidden="false" customHeight="false" outlineLevel="0" collapsed="false">
      <c r="A33" s="13" t="n">
        <f aca="false">IF($B33="","",25)</f>
        <v>25</v>
      </c>
      <c r="B33" s="13" t="str">
        <f aca="false">IF(Listes!A25="","",Listes!A25)</f>
        <v>Citrouille / potiron</v>
      </c>
      <c r="C33" s="14" t="str">
        <f aca="false">IF($B33="","",IFERROR(INDEX('Liste des ingrédients'!$C$5:$C$98,MATCH($B33,'Liste des ingrédients'!$B$5:$B$98,0)),""))</f>
        <v>كابوية (kabouya)</v>
      </c>
      <c r="D33" s="15" t="n">
        <f aca="false">IF($B33="","",Listes!E25)</f>
        <v>900</v>
      </c>
      <c r="E33" s="13" t="str">
        <f aca="false">IF($B33="","",IF(I33="kg","g",IF(I33="L","ml",I33)))</f>
        <v>g</v>
      </c>
      <c r="F33" s="15" t="n">
        <f aca="false">IF($B33="",0,IF(OR(I33="kg",I33="L"),ROUND(D33/1000,3),ROUNDUP(D33,0)))</f>
        <v>0.9</v>
      </c>
      <c r="G33" s="16"/>
      <c r="H33" s="17" t="n">
        <f aca="false">IF(G33="",F33,G33)</f>
        <v>0.9</v>
      </c>
      <c r="I33" s="13" t="str">
        <f aca="false">IF($B33="","",IFERROR(INDEX('Liste des ingrédients'!$G$5:$G$98,MATCH($B33,'Liste des ingrédients'!$B$5:$B$98,0)),""))</f>
        <v>kg</v>
      </c>
      <c r="J33" s="18" t="n">
        <f aca="false">IF($B33="",0,IFERROR(INDEX('Liste des ingrédients'!$H$5:$H$98,MATCH($B33,'Liste des ingrédients'!$B$5:$B$98,0)),0))</f>
        <v>1.5</v>
      </c>
      <c r="K33" s="18" t="n">
        <f aca="false">IF($B33="",0,H33*J33)</f>
        <v>1.35</v>
      </c>
      <c r="L33" s="13"/>
      <c r="N33" s="13" t="str">
        <f aca="false">IF($O33="","",25)</f>
        <v/>
      </c>
      <c r="O33" s="13" t="str">
        <f aca="false">IF('Hygiène &amp; entretien'!B34="","",'Hygiène &amp; entretien'!B34)</f>
        <v/>
      </c>
      <c r="P33" s="14" t="str">
        <f aca="false">IF(O33="","",'Hygiène &amp; entretien'!C34&amp;"")</f>
        <v/>
      </c>
      <c r="Q33" s="13" t="str">
        <f aca="false">IF(O33="","",'Hygiène &amp; entretien'!D34&amp;"")</f>
        <v/>
      </c>
      <c r="R33" s="13" t="n">
        <f aca="false">IF(O33="",0,IF('Hygiène &amp; entretien'!E34="Oui",N('Hygiène &amp; entretien'!F34),0))</f>
        <v>0</v>
      </c>
      <c r="S33" s="19"/>
      <c r="T33" s="20" t="n">
        <f aca="false">IF(S33="",R33,S33)</f>
        <v>0</v>
      </c>
      <c r="U33" s="18" t="n">
        <f aca="false">IF(O33="",0,N('Hygiène &amp; entretien'!G34))</f>
        <v>0</v>
      </c>
      <c r="V33" s="18" t="n">
        <f aca="false">T33*U33</f>
        <v>0</v>
      </c>
      <c r="W33" s="13"/>
    </row>
    <row r="34" customFormat="false" ht="15" hidden="false" customHeight="false" outlineLevel="0" collapsed="false">
      <c r="A34" s="13" t="n">
        <f aca="false">IF($B34="","",26)</f>
        <v>26</v>
      </c>
      <c r="B34" s="13" t="str">
        <f aca="false">IF(Listes!A26="","",Listes!A26)</f>
        <v>Concombres</v>
      </c>
      <c r="C34" s="14" t="str">
        <f aca="false">IF($B34="","",IFERROR(INDEX('Liste des ingrédients'!$C$5:$C$98,MATCH($B34,'Liste des ingrédients'!$B$5:$B$98,0)),""))</f>
        <v>فقوس (fagous)</v>
      </c>
      <c r="D34" s="15" t="n">
        <f aca="false">IF($B34="","",Listes!E26)</f>
        <v>1600</v>
      </c>
      <c r="E34" s="13" t="str">
        <f aca="false">IF($B34="","",IF(I34="kg","g",IF(I34="L","ml",I34)))</f>
        <v>g</v>
      </c>
      <c r="F34" s="15" t="n">
        <f aca="false">IF($B34="",0,IF(OR(I34="kg",I34="L"),ROUND(D34/1000,3),ROUNDUP(D34,0)))</f>
        <v>1.6</v>
      </c>
      <c r="G34" s="16"/>
      <c r="H34" s="17" t="n">
        <f aca="false">IF(G34="",F34,G34)</f>
        <v>1.6</v>
      </c>
      <c r="I34" s="13" t="str">
        <f aca="false">IF($B34="","",IFERROR(INDEX('Liste des ingrédients'!$G$5:$G$98,MATCH($B34,'Liste des ingrédients'!$B$5:$B$98,0)),""))</f>
        <v>kg</v>
      </c>
      <c r="J34" s="18" t="n">
        <f aca="false">IF($B34="",0,IFERROR(INDEX('Liste des ingrédients'!$H$5:$H$98,MATCH($B34,'Liste des ingrédients'!$B$5:$B$98,0)),0))</f>
        <v>2.5</v>
      </c>
      <c r="K34" s="18" t="n">
        <f aca="false">IF($B34="",0,H34*J34)</f>
        <v>4</v>
      </c>
      <c r="L34" s="13"/>
      <c r="N34" s="13" t="str">
        <f aca="false">IF($O34="","",26)</f>
        <v/>
      </c>
      <c r="O34" s="13" t="str">
        <f aca="false">IF('Hygiène &amp; entretien'!B35="","",'Hygiène &amp; entretien'!B35)</f>
        <v/>
      </c>
      <c r="P34" s="14" t="str">
        <f aca="false">IF(O34="","",'Hygiène &amp; entretien'!C35&amp;"")</f>
        <v/>
      </c>
      <c r="Q34" s="13" t="str">
        <f aca="false">IF(O34="","",'Hygiène &amp; entretien'!D35&amp;"")</f>
        <v/>
      </c>
      <c r="R34" s="13" t="n">
        <f aca="false">IF(O34="",0,IF('Hygiène &amp; entretien'!E35="Oui",N('Hygiène &amp; entretien'!F35),0))</f>
        <v>0</v>
      </c>
      <c r="S34" s="19"/>
      <c r="T34" s="20" t="n">
        <f aca="false">IF(S34="",R34,S34)</f>
        <v>0</v>
      </c>
      <c r="U34" s="18" t="n">
        <f aca="false">IF(O34="",0,N('Hygiène &amp; entretien'!G35))</f>
        <v>0</v>
      </c>
      <c r="V34" s="18" t="n">
        <f aca="false">T34*U34</f>
        <v>0</v>
      </c>
      <c r="W34" s="13"/>
    </row>
    <row r="35" customFormat="false" ht="15" hidden="false" customHeight="false" outlineLevel="0" collapsed="false">
      <c r="A35" s="13" t="n">
        <f aca="false">IF($B35="","",27)</f>
        <v>27</v>
      </c>
      <c r="B35" s="13" t="str">
        <f aca="false">IF(Listes!A27="","",Listes!A27)</f>
        <v>Laitues</v>
      </c>
      <c r="C35" s="14" t="str">
        <f aca="false">IF($B35="","",IFERROR(INDEX('Liste des ingrédients'!$C$5:$C$98,MATCH($B35,'Liste des ingrédients'!$B$5:$B$98,0)),""))</f>
        <v>خص (khass)</v>
      </c>
      <c r="D35" s="15" t="n">
        <f aca="false">IF($B35="","",Listes!E27)</f>
        <v>4</v>
      </c>
      <c r="E35" s="13" t="str">
        <f aca="false">IF($B35="","",IF(I35="kg","g",IF(I35="L","ml",I35)))</f>
        <v>pièce</v>
      </c>
      <c r="F35" s="15" t="n">
        <f aca="false">IF($B35="",0,IF(OR(I35="kg",I35="L"),ROUND(D35/1000,3),ROUNDUP(D35,0)))</f>
        <v>4</v>
      </c>
      <c r="G35" s="16"/>
      <c r="H35" s="17" t="n">
        <f aca="false">IF(G35="",F35,G35)</f>
        <v>4</v>
      </c>
      <c r="I35" s="13" t="str">
        <f aca="false">IF($B35="","",IFERROR(INDEX('Liste des ingrédients'!$G$5:$G$98,MATCH($B35,'Liste des ingrédients'!$B$5:$B$98,0)),""))</f>
        <v>pièce</v>
      </c>
      <c r="J35" s="18" t="n">
        <f aca="false">IF($B35="",0,IFERROR(INDEX('Liste des ingrédients'!$H$5:$H$98,MATCH($B35,'Liste des ingrédients'!$B$5:$B$98,0)),0))</f>
        <v>1</v>
      </c>
      <c r="K35" s="18" t="n">
        <f aca="false">IF($B35="",0,H35*J35)</f>
        <v>4</v>
      </c>
      <c r="L35" s="13"/>
    </row>
    <row r="36" customFormat="false" ht="15" hidden="false" customHeight="false" outlineLevel="0" collapsed="false">
      <c r="A36" s="13" t="n">
        <f aca="false">IF($B36="","",28)</f>
        <v>28</v>
      </c>
      <c r="B36" s="13" t="str">
        <f aca="false">IF(Listes!A28="","",Listes!A28)</f>
        <v>Épinards (ou blettes)</v>
      </c>
      <c r="C36" s="14" t="str">
        <f aca="false">IF($B36="","",IFERROR(INDEX('Liste des ingrédients'!$C$5:$C$98,MATCH($B36,'Liste des ingrédients'!$B$5:$B$98,0)),""))</f>
        <v>سبناخ (sbenekh) / سلق (selg)</v>
      </c>
      <c r="D36" s="15" t="n">
        <f aca="false">IF($B36="","",Listes!E28)</f>
        <v>600</v>
      </c>
      <c r="E36" s="13" t="str">
        <f aca="false">IF($B36="","",IF(I36="kg","g",IF(I36="L","ml",I36)))</f>
        <v>g</v>
      </c>
      <c r="F36" s="15" t="n">
        <f aca="false">IF($B36="",0,IF(OR(I36="kg",I36="L"),ROUND(D36/1000,3),ROUNDUP(D36,0)))</f>
        <v>0.6</v>
      </c>
      <c r="G36" s="16"/>
      <c r="H36" s="17" t="n">
        <f aca="false">IF(G36="",F36,G36)</f>
        <v>0.6</v>
      </c>
      <c r="I36" s="13" t="str">
        <f aca="false">IF($B36="","",IFERROR(INDEX('Liste des ingrédients'!$G$5:$G$98,MATCH($B36,'Liste des ingrédients'!$B$5:$B$98,0)),""))</f>
        <v>kg</v>
      </c>
      <c r="J36" s="18" t="n">
        <f aca="false">IF($B36="",0,IFERROR(INDEX('Liste des ingrédients'!$H$5:$H$98,MATCH($B36,'Liste des ingrédients'!$B$5:$B$98,0)),0))</f>
        <v>4</v>
      </c>
      <c r="K36" s="18" t="n">
        <f aca="false">IF($B36="",0,H36*J36)</f>
        <v>2.4</v>
      </c>
      <c r="L36" s="13"/>
    </row>
    <row r="37" customFormat="false" ht="15" hidden="false" customHeight="false" outlineLevel="0" collapsed="false">
      <c r="A37" s="13" t="n">
        <f aca="false">IF($B37="","",29)</f>
        <v>29</v>
      </c>
      <c r="B37" s="13" t="str">
        <f aca="false">IF(Listes!A29="","",Listes!A29)</f>
        <v>Petits pois</v>
      </c>
      <c r="C37" s="14" t="str">
        <f aca="false">IF($B37="","",IFERROR(INDEX('Liste des ingrédients'!$C$5:$C$98,MATCH($B37,'Liste des ingrédients'!$B$5:$B$98,0)),""))</f>
        <v>جلبانة (jelbana)</v>
      </c>
      <c r="D37" s="15" t="n">
        <f aca="false">IF($B37="","",Listes!E29)</f>
        <v>700</v>
      </c>
      <c r="E37" s="13" t="str">
        <f aca="false">IF($B37="","",IF(I37="kg","g",IF(I37="L","ml",I37)))</f>
        <v>g</v>
      </c>
      <c r="F37" s="15" t="n">
        <f aca="false">IF($B37="",0,IF(OR(I37="kg",I37="L"),ROUND(D37/1000,3),ROUNDUP(D37,0)))</f>
        <v>0.7</v>
      </c>
      <c r="G37" s="16"/>
      <c r="H37" s="17" t="n">
        <f aca="false">IF(G37="",F37,G37)</f>
        <v>0.7</v>
      </c>
      <c r="I37" s="13" t="str">
        <f aca="false">IF($B37="","",IFERROR(INDEX('Liste des ingrédients'!$G$5:$G$98,MATCH($B37,'Liste des ingrédients'!$B$5:$B$98,0)),""))</f>
        <v>kg</v>
      </c>
      <c r="J37" s="18" t="n">
        <f aca="false">IF($B37="",0,IFERROR(INDEX('Liste des ingrédients'!$H$5:$H$98,MATCH($B37,'Liste des ingrédients'!$B$5:$B$98,0)),0))</f>
        <v>3.4</v>
      </c>
      <c r="K37" s="18" t="n">
        <f aca="false">IF($B37="",0,H37*J37)</f>
        <v>2.38</v>
      </c>
      <c r="L37" s="13"/>
    </row>
    <row r="38" customFormat="false" ht="15" hidden="false" customHeight="false" outlineLevel="0" collapsed="false">
      <c r="A38" s="13" t="n">
        <f aca="false">IF($B38="","",30)</f>
        <v>30</v>
      </c>
      <c r="B38" s="13" t="str">
        <f aca="false">IF(Listes!A30="","",Listes!A30)</f>
        <v>Céleri</v>
      </c>
      <c r="C38" s="14" t="str">
        <f aca="false">IF($B38="","",IFERROR(INDEX('Liste des ingrédients'!$C$5:$C$98,MATCH($B38,'Liste des ingrédients'!$B$5:$B$98,0)),""))</f>
        <v>كرافس (krafes)</v>
      </c>
      <c r="D38" s="15" t="n">
        <f aca="false">IF($B38="","",Listes!E30)</f>
        <v>1</v>
      </c>
      <c r="E38" s="13" t="str">
        <f aca="false">IF($B38="","",IF(I38="kg","g",IF(I38="L","ml",I38)))</f>
        <v>botte</v>
      </c>
      <c r="F38" s="15" t="n">
        <f aca="false">IF($B38="",0,IF(OR(I38="kg",I38="L"),ROUND(D38/1000,3),ROUNDUP(D38,0)))</f>
        <v>1</v>
      </c>
      <c r="G38" s="16"/>
      <c r="H38" s="17" t="n">
        <f aca="false">IF(G38="",F38,G38)</f>
        <v>1</v>
      </c>
      <c r="I38" s="13" t="str">
        <f aca="false">IF($B38="","",IFERROR(INDEX('Liste des ingrédients'!$G$5:$G$98,MATCH($B38,'Liste des ingrédients'!$B$5:$B$98,0)),""))</f>
        <v>botte</v>
      </c>
      <c r="J38" s="18" t="n">
        <f aca="false">IF($B38="",0,IFERROR(INDEX('Liste des ingrédients'!$H$5:$H$98,MATCH($B38,'Liste des ingrédients'!$B$5:$B$98,0)),0))</f>
        <v>1</v>
      </c>
      <c r="K38" s="18" t="n">
        <f aca="false">IF($B38="",0,H38*J38)</f>
        <v>1</v>
      </c>
      <c r="L38" s="13"/>
    </row>
    <row r="39" customFormat="false" ht="15" hidden="false" customHeight="false" outlineLevel="0" collapsed="false">
      <c r="A39" s="13" t="n">
        <f aca="false">IF($B39="","",31)</f>
        <v>31</v>
      </c>
      <c r="B39" s="13" t="str">
        <f aca="false">IF(Listes!A31="","",Listes!A31)</f>
        <v>Persil</v>
      </c>
      <c r="C39" s="14" t="str">
        <f aca="false">IF($B39="","",IFERROR(INDEX('Liste des ingrédients'!$C$5:$C$98,MATCH($B39,'Liste des ingrédients'!$B$5:$B$98,0)),""))</f>
        <v>معدنوس (ma3dnous)</v>
      </c>
      <c r="D39" s="15" t="n">
        <f aca="false">IF($B39="","",Listes!E31)</f>
        <v>5</v>
      </c>
      <c r="E39" s="13" t="str">
        <f aca="false">IF($B39="","",IF(I39="kg","g",IF(I39="L","ml",I39)))</f>
        <v>botte</v>
      </c>
      <c r="F39" s="15" t="n">
        <f aca="false">IF($B39="",0,IF(OR(I39="kg",I39="L"),ROUND(D39/1000,3),ROUNDUP(D39,0)))</f>
        <v>5</v>
      </c>
      <c r="G39" s="16"/>
      <c r="H39" s="17" t="n">
        <f aca="false">IF(G39="",F39,G39)</f>
        <v>5</v>
      </c>
      <c r="I39" s="13" t="str">
        <f aca="false">IF($B39="","",IFERROR(INDEX('Liste des ingrédients'!$G$5:$G$98,MATCH($B39,'Liste des ingrédients'!$B$5:$B$98,0)),""))</f>
        <v>botte</v>
      </c>
      <c r="J39" s="18" t="n">
        <f aca="false">IF($B39="",0,IFERROR(INDEX('Liste des ingrédients'!$H$5:$H$98,MATCH($B39,'Liste des ingrédients'!$B$5:$B$98,0)),0))</f>
        <v>0.8</v>
      </c>
      <c r="K39" s="18" t="n">
        <f aca="false">IF($B39="",0,H39*J39)</f>
        <v>4</v>
      </c>
      <c r="L39" s="13"/>
    </row>
    <row r="40" customFormat="false" ht="15" hidden="false" customHeight="false" outlineLevel="0" collapsed="false">
      <c r="A40" s="13" t="n">
        <f aca="false">IF($B40="","",32)</f>
        <v>32</v>
      </c>
      <c r="B40" s="13" t="str">
        <f aca="false">IF(Listes!A32="","",Listes!A32)</f>
        <v>Romarin ou thym</v>
      </c>
      <c r="C40" s="14" t="str">
        <f aca="false">IF($B40="","",IFERROR(INDEX('Liste des ingrédients'!$C$5:$C$98,MATCH($B40,'Liste des ingrédients'!$B$5:$B$98,0)),""))</f>
        <v>إكليل (iklil) / زعتر (za3tar)</v>
      </c>
      <c r="D40" s="15" t="n">
        <f aca="false">IF($B40="","",Listes!E32)</f>
        <v>1</v>
      </c>
      <c r="E40" s="13" t="str">
        <f aca="false">IF($B40="","",IF(I40="kg","g",IF(I40="L","ml",I40)))</f>
        <v>botte</v>
      </c>
      <c r="F40" s="15" t="n">
        <f aca="false">IF($B40="",0,IF(OR(I40="kg",I40="L"),ROUND(D40/1000,3),ROUNDUP(D40,0)))</f>
        <v>1</v>
      </c>
      <c r="G40" s="16"/>
      <c r="H40" s="17" t="n">
        <f aca="false">IF(G40="",F40,G40)</f>
        <v>1</v>
      </c>
      <c r="I40" s="13" t="str">
        <f aca="false">IF($B40="","",IFERROR(INDEX('Liste des ingrédients'!$G$5:$G$98,MATCH($B40,'Liste des ingrédients'!$B$5:$B$98,0)),""))</f>
        <v>botte</v>
      </c>
      <c r="J40" s="18" t="n">
        <f aca="false">IF($B40="",0,IFERROR(INDEX('Liste des ingrédients'!$H$5:$H$98,MATCH($B40,'Liste des ingrédients'!$B$5:$B$98,0)),0))</f>
        <v>1</v>
      </c>
      <c r="K40" s="18" t="n">
        <f aca="false">IF($B40="",0,H40*J40)</f>
        <v>1</v>
      </c>
      <c r="L40" s="13"/>
    </row>
    <row r="41" customFormat="false" ht="15" hidden="false" customHeight="false" outlineLevel="0" collapsed="false">
      <c r="A41" s="13" t="n">
        <f aca="false">IF($B41="","",33)</f>
        <v>33</v>
      </c>
      <c r="B41" s="13" t="str">
        <f aca="false">IF(Listes!A33="","",Listes!A33)</f>
        <v>Citrons</v>
      </c>
      <c r="C41" s="14" t="str">
        <f aca="false">IF($B41="","",IFERROR(INDEX('Liste des ingrédients'!$C$5:$C$98,MATCH($B41,'Liste des ingrédients'!$B$5:$B$98,0)),""))</f>
        <v>قارص (gares)</v>
      </c>
      <c r="D41" s="15" t="n">
        <f aca="false">IF($B41="","",Listes!E33)</f>
        <v>1500</v>
      </c>
      <c r="E41" s="13" t="str">
        <f aca="false">IF($B41="","",IF(I41="kg","g",IF(I41="L","ml",I41)))</f>
        <v>g</v>
      </c>
      <c r="F41" s="15" t="n">
        <f aca="false">IF($B41="",0,IF(OR(I41="kg",I41="L"),ROUND(D41/1000,3),ROUNDUP(D41,0)))</f>
        <v>1.5</v>
      </c>
      <c r="G41" s="16"/>
      <c r="H41" s="17" t="n">
        <f aca="false">IF(G41="",F41,G41)</f>
        <v>1.5</v>
      </c>
      <c r="I41" s="13" t="str">
        <f aca="false">IF($B41="","",IFERROR(INDEX('Liste des ingrédients'!$G$5:$G$98,MATCH($B41,'Liste des ingrédients'!$B$5:$B$98,0)),""))</f>
        <v>kg</v>
      </c>
      <c r="J41" s="18" t="n">
        <f aca="false">IF($B41="",0,IFERROR(INDEX('Liste des ingrédients'!$H$5:$H$98,MATCH($B41,'Liste des ingrédients'!$B$5:$B$98,0)),0))</f>
        <v>3</v>
      </c>
      <c r="K41" s="18" t="n">
        <f aca="false">IF($B41="",0,H41*J41)</f>
        <v>4.5</v>
      </c>
      <c r="L41" s="13"/>
    </row>
    <row r="42" customFormat="false" ht="15" hidden="false" customHeight="false" outlineLevel="0" collapsed="false">
      <c r="A42" s="13" t="n">
        <f aca="false">IF($B42="","",34)</f>
        <v>34</v>
      </c>
      <c r="B42" s="13" t="str">
        <f aca="false">IF(Listes!A34="","",Listes!A34)</f>
        <v>Pommes</v>
      </c>
      <c r="C42" s="14" t="str">
        <f aca="false">IF($B42="","",IFERROR(INDEX('Liste des ingrédients'!$C$5:$C$98,MATCH($B42,'Liste des ingrédients'!$B$5:$B$98,0)),""))</f>
        <v>تفاح (teffe7)</v>
      </c>
      <c r="D42" s="15" t="n">
        <f aca="false">IF($B42="","",Listes!E34)</f>
        <v>3000</v>
      </c>
      <c r="E42" s="13" t="str">
        <f aca="false">IF($B42="","",IF(I42="kg","g",IF(I42="L","ml",I42)))</f>
        <v>g</v>
      </c>
      <c r="F42" s="15" t="n">
        <f aca="false">IF($B42="",0,IF(OR(I42="kg",I42="L"),ROUND(D42/1000,3),ROUNDUP(D42,0)))</f>
        <v>3</v>
      </c>
      <c r="G42" s="16"/>
      <c r="H42" s="17" t="n">
        <f aca="false">IF(G42="",F42,G42)</f>
        <v>3</v>
      </c>
      <c r="I42" s="13" t="str">
        <f aca="false">IF($B42="","",IFERROR(INDEX('Liste des ingrédients'!$G$5:$G$98,MATCH($B42,'Liste des ingrédients'!$B$5:$B$98,0)),""))</f>
        <v>kg</v>
      </c>
      <c r="J42" s="18" t="n">
        <f aca="false">IF($B42="",0,IFERROR(INDEX('Liste des ingrédients'!$H$5:$H$98,MATCH($B42,'Liste des ingrédients'!$B$5:$B$98,0)),0))</f>
        <v>3.99</v>
      </c>
      <c r="K42" s="18" t="n">
        <f aca="false">IF($B42="",0,H42*J42)</f>
        <v>11.97</v>
      </c>
      <c r="L42" s="13"/>
    </row>
    <row r="43" customFormat="false" ht="15" hidden="false" customHeight="false" outlineLevel="0" collapsed="false">
      <c r="A43" s="13" t="n">
        <f aca="false">IF($B43="","",35)</f>
        <v>35</v>
      </c>
      <c r="B43" s="13" t="str">
        <f aca="false">IF(Listes!A35="","",Listes!A35)</f>
        <v>Grenades</v>
      </c>
      <c r="C43" s="14" t="str">
        <f aca="false">IF($B43="","",IFERROR(INDEX('Liste des ingrédients'!$C$5:$C$98,MATCH($B43,'Liste des ingrédients'!$B$5:$B$98,0)),""))</f>
        <v>رمان (rommen)</v>
      </c>
      <c r="D43" s="15" t="n">
        <f aca="false">IF($B43="","",Listes!E35)</f>
        <v>2000</v>
      </c>
      <c r="E43" s="13" t="str">
        <f aca="false">IF($B43="","",IF(I43="kg","g",IF(I43="L","ml",I43)))</f>
        <v>g</v>
      </c>
      <c r="F43" s="15" t="n">
        <f aca="false">IF($B43="",0,IF(OR(I43="kg",I43="L"),ROUND(D43/1000,3),ROUNDUP(D43,0)))</f>
        <v>2</v>
      </c>
      <c r="G43" s="16"/>
      <c r="H43" s="17" t="n">
        <f aca="false">IF(G43="",F43,G43)</f>
        <v>2</v>
      </c>
      <c r="I43" s="13" t="str">
        <f aca="false">IF($B43="","",IFERROR(INDEX('Liste des ingrédients'!$G$5:$G$98,MATCH($B43,'Liste des ingrédients'!$B$5:$B$98,0)),""))</f>
        <v>kg</v>
      </c>
      <c r="J43" s="18" t="n">
        <f aca="false">IF($B43="",0,IFERROR(INDEX('Liste des ingrédients'!$H$5:$H$98,MATCH($B43,'Liste des ingrédients'!$B$5:$B$98,0)),0))</f>
        <v>3.99</v>
      </c>
      <c r="K43" s="18" t="n">
        <f aca="false">IF($B43="",0,H43*J43)</f>
        <v>7.98</v>
      </c>
      <c r="L43" s="13"/>
    </row>
    <row r="44" customFormat="false" ht="15" hidden="false" customHeight="false" outlineLevel="0" collapsed="false">
      <c r="A44" s="13" t="n">
        <f aca="false">IF($B44="","",36)</f>
        <v>36</v>
      </c>
      <c r="B44" s="13" t="str">
        <f aca="false">IF(Listes!A36="","",Listes!A36)</f>
        <v>Raisin</v>
      </c>
      <c r="C44" s="14" t="str">
        <f aca="false">IF($B44="","",IFERROR(INDEX('Liste des ingrédients'!$C$5:$C$98,MATCH($B44,'Liste des ingrédients'!$B$5:$B$98,0)),""))</f>
        <v>عنب (3neb)</v>
      </c>
      <c r="D44" s="15" t="n">
        <f aca="false">IF($B44="","",Listes!E36)</f>
        <v>2000</v>
      </c>
      <c r="E44" s="13" t="str">
        <f aca="false">IF($B44="","",IF(I44="kg","g",IF(I44="L","ml",I44)))</f>
        <v>g</v>
      </c>
      <c r="F44" s="15" t="n">
        <f aca="false">IF($B44="",0,IF(OR(I44="kg",I44="L"),ROUND(D44/1000,3),ROUNDUP(D44,0)))</f>
        <v>2</v>
      </c>
      <c r="G44" s="16"/>
      <c r="H44" s="17" t="n">
        <f aca="false">IF(G44="",F44,G44)</f>
        <v>2</v>
      </c>
      <c r="I44" s="13" t="str">
        <f aca="false">IF($B44="","",IFERROR(INDEX('Liste des ingrédients'!$G$5:$G$98,MATCH($B44,'Liste des ingrédients'!$B$5:$B$98,0)),""))</f>
        <v>kg</v>
      </c>
      <c r="J44" s="18" t="n">
        <f aca="false">IF($B44="",0,IFERROR(INDEX('Liste des ingrédients'!$H$5:$H$98,MATCH($B44,'Liste des ingrédients'!$B$5:$B$98,0)),0))</f>
        <v>4.9</v>
      </c>
      <c r="K44" s="18" t="n">
        <f aca="false">IF($B44="",0,H44*J44)</f>
        <v>9.8</v>
      </c>
      <c r="L44" s="13"/>
    </row>
    <row r="45" customFormat="false" ht="15" hidden="false" customHeight="false" outlineLevel="0" collapsed="false">
      <c r="A45" s="13" t="n">
        <f aca="false">IF($B45="","",37)</f>
        <v>37</v>
      </c>
      <c r="B45" s="13" t="str">
        <f aca="false">IF(Listes!A37="","",Listes!A37)</f>
        <v>Bananes</v>
      </c>
      <c r="C45" s="14" t="str">
        <f aca="false">IF($B45="","",IFERROR(INDEX('Liste des ingrédients'!$C$5:$C$98,MATCH($B45,'Liste des ingrédients'!$B$5:$B$98,0)),""))</f>
        <v>بنان (banan)</v>
      </c>
      <c r="D45" s="15" t="n">
        <f aca="false">IF($B45="","",Listes!E37)</f>
        <v>2000</v>
      </c>
      <c r="E45" s="13" t="str">
        <f aca="false">IF($B45="","",IF(I45="kg","g",IF(I45="L","ml",I45)))</f>
        <v>g</v>
      </c>
      <c r="F45" s="15" t="n">
        <f aca="false">IF($B45="",0,IF(OR(I45="kg",I45="L"),ROUND(D45/1000,3),ROUNDUP(D45,0)))</f>
        <v>2</v>
      </c>
      <c r="G45" s="16"/>
      <c r="H45" s="17" t="n">
        <f aca="false">IF(G45="",F45,G45)</f>
        <v>2</v>
      </c>
      <c r="I45" s="13" t="str">
        <f aca="false">IF($B45="","",IFERROR(INDEX('Liste des ingrédients'!$G$5:$G$98,MATCH($B45,'Liste des ingrédients'!$B$5:$B$98,0)),""))</f>
        <v>kg</v>
      </c>
      <c r="J45" s="18" t="n">
        <f aca="false">IF($B45="",0,IFERROR(INDEX('Liste des ingrédients'!$H$5:$H$98,MATCH($B45,'Liste des ingrédients'!$B$5:$B$98,0)),0))</f>
        <v>7</v>
      </c>
      <c r="K45" s="18" t="n">
        <f aca="false">IF($B45="",0,H45*J45)</f>
        <v>14</v>
      </c>
      <c r="L45" s="13"/>
    </row>
    <row r="46" customFormat="false" ht="15" hidden="false" customHeight="false" outlineLevel="0" collapsed="false">
      <c r="A46" s="13" t="n">
        <f aca="false">IF($B46="","",38)</f>
        <v>38</v>
      </c>
      <c r="B46" s="13" t="str">
        <f aca="false">IF(Listes!A38="","",Listes!A38)</f>
        <v>Dattes (Deglet Nour, branchées)</v>
      </c>
      <c r="C46" s="14" t="str">
        <f aca="false">IF($B46="","",IFERROR(INDEX('Liste des ingrédients'!$C$5:$C$98,MATCH($B46,'Liste des ingrédients'!$B$5:$B$98,0)),""))</f>
        <v>دقلة (deglet nour)</v>
      </c>
      <c r="D46" s="15" t="n">
        <f aca="false">IF($B46="","",Listes!E38)</f>
        <v>1000</v>
      </c>
      <c r="E46" s="13" t="str">
        <f aca="false">IF($B46="","",IF(I46="kg","g",IF(I46="L","ml",I46)))</f>
        <v>g</v>
      </c>
      <c r="F46" s="15" t="n">
        <f aca="false">IF($B46="",0,IF(OR(I46="kg",I46="L"),ROUND(D46/1000,3),ROUNDUP(D46,0)))</f>
        <v>1</v>
      </c>
      <c r="G46" s="16"/>
      <c r="H46" s="17" t="n">
        <f aca="false">IF(G46="",F46,G46)</f>
        <v>1</v>
      </c>
      <c r="I46" s="13" t="str">
        <f aca="false">IF($B46="","",IFERROR(INDEX('Liste des ingrédients'!$G$5:$G$98,MATCH($B46,'Liste des ingrédients'!$B$5:$B$98,0)),""))</f>
        <v>kg</v>
      </c>
      <c r="J46" s="18" t="n">
        <f aca="false">IF($B46="",0,IFERROR(INDEX('Liste des ingrédients'!$H$5:$H$98,MATCH($B46,'Liste des ingrédients'!$B$5:$B$98,0)),0))</f>
        <v>5.17</v>
      </c>
      <c r="K46" s="18" t="n">
        <f aca="false">IF($B46="",0,H46*J46)</f>
        <v>5.17</v>
      </c>
      <c r="L46" s="13"/>
    </row>
    <row r="47" customFormat="false" ht="15" hidden="false" customHeight="false" outlineLevel="0" collapsed="false">
      <c r="A47" s="13" t="n">
        <f aca="false">IF($B47="","",39)</f>
        <v>39</v>
      </c>
      <c r="B47" s="13" t="str">
        <f aca="false">IF(Listes!A39="","",Listes!A39)</f>
        <v>Couscous moyen</v>
      </c>
      <c r="C47" s="14" t="str">
        <f aca="false">IF($B47="","",IFERROR(INDEX('Liste des ingrédients'!$C$5:$C$98,MATCH($B47,'Liste des ingrédients'!$B$5:$B$98,0)),""))</f>
        <v>كسكسي (kosksi)</v>
      </c>
      <c r="D47" s="15" t="n">
        <f aca="false">IF($B47="","",Listes!E39)</f>
        <v>1000</v>
      </c>
      <c r="E47" s="13" t="str">
        <f aca="false">IF($B47="","",IF(I47="kg","g",IF(I47="L","ml",I47)))</f>
        <v>g</v>
      </c>
      <c r="F47" s="15" t="n">
        <f aca="false">IF($B47="",0,IF(OR(I47="kg",I47="L"),ROUND(D47/1000,3),ROUNDUP(D47,0)))</f>
        <v>1</v>
      </c>
      <c r="G47" s="16"/>
      <c r="H47" s="17" t="n">
        <f aca="false">IF(G47="",F47,G47)</f>
        <v>1</v>
      </c>
      <c r="I47" s="13" t="str">
        <f aca="false">IF($B47="","",IFERROR(INDEX('Liste des ingrédients'!$G$5:$G$98,MATCH($B47,'Liste des ingrédients'!$B$5:$B$98,0)),""))</f>
        <v>kg</v>
      </c>
      <c r="J47" s="18" t="n">
        <f aca="false">IF($B47="",0,IFERROR(INDEX('Liste des ingrédients'!$H$5:$H$98,MATCH($B47,'Liste des ingrédients'!$B$5:$B$98,0)),0))</f>
        <v>3</v>
      </c>
      <c r="K47" s="18" t="n">
        <f aca="false">IF($B47="",0,H47*J47)</f>
        <v>3</v>
      </c>
      <c r="L47" s="13"/>
    </row>
    <row r="48" customFormat="false" ht="15" hidden="false" customHeight="false" outlineLevel="0" collapsed="false">
      <c r="A48" s="13" t="n">
        <f aca="false">IF($B48="","",40)</f>
        <v>40</v>
      </c>
      <c r="B48" s="13" t="str">
        <f aca="false">IF(Listes!A40="","",Listes!A40)</f>
        <v>Spaghetti</v>
      </c>
      <c r="C48" s="14" t="str">
        <f aca="false">IF($B48="","",IFERROR(INDEX('Liste des ingrédients'!$C$5:$C$98,MATCH($B48,'Liste des ingrédients'!$B$5:$B$98,0)),""))</f>
        <v>مقرونة سباقتي (makrouna spaghetti)</v>
      </c>
      <c r="D48" s="15" t="n">
        <f aca="false">IF($B48="","",Listes!E40)</f>
        <v>800</v>
      </c>
      <c r="E48" s="13" t="str">
        <f aca="false">IF($B48="","",IF(I48="kg","g",IF(I48="L","ml",I48)))</f>
        <v>g</v>
      </c>
      <c r="F48" s="15" t="n">
        <f aca="false">IF($B48="",0,IF(OR(I48="kg",I48="L"),ROUND(D48/1000,3),ROUNDUP(D48,0)))</f>
        <v>0.8</v>
      </c>
      <c r="G48" s="16"/>
      <c r="H48" s="17" t="n">
        <f aca="false">IF(G48="",F48,G48)</f>
        <v>0.8</v>
      </c>
      <c r="I48" s="13" t="str">
        <f aca="false">IF($B48="","",IFERROR(INDEX('Liste des ingrédients'!$G$5:$G$98,MATCH($B48,'Liste des ingrédients'!$B$5:$B$98,0)),""))</f>
        <v>kg</v>
      </c>
      <c r="J48" s="18" t="n">
        <f aca="false">IF($B48="",0,IFERROR(INDEX('Liste des ingrédients'!$H$5:$H$98,MATCH($B48,'Liste des ingrédients'!$B$5:$B$98,0)),0))</f>
        <v>3.1</v>
      </c>
      <c r="K48" s="18" t="n">
        <f aca="false">IF($B48="",0,H48*J48)</f>
        <v>2.48</v>
      </c>
      <c r="L48" s="13"/>
    </row>
    <row r="49" customFormat="false" ht="15" hidden="false" customHeight="false" outlineLevel="0" collapsed="false">
      <c r="A49" s="13" t="n">
        <f aca="false">IF($B49="","",41)</f>
        <v>41</v>
      </c>
      <c r="B49" s="13" t="str">
        <f aca="false">IF(Listes!A41="","",Listes!A41)</f>
        <v>Riz (ou bulgur)</v>
      </c>
      <c r="C49" s="14" t="str">
        <f aca="false">IF($B49="","",IFERROR(INDEX('Liste des ingrédients'!$C$5:$C$98,MATCH($B49,'Liste des ingrédients'!$B$5:$B$98,0)),""))</f>
        <v>روز (rouz) / برغل (borghol)</v>
      </c>
      <c r="D49" s="15" t="n">
        <f aca="false">IF($B49="","",Listes!E41)</f>
        <v>650</v>
      </c>
      <c r="E49" s="13" t="str">
        <f aca="false">IF($B49="","",IF(I49="kg","g",IF(I49="L","ml",I49)))</f>
        <v>g</v>
      </c>
      <c r="F49" s="15" t="n">
        <f aca="false">IF($B49="",0,IF(OR(I49="kg",I49="L"),ROUND(D49/1000,3),ROUNDUP(D49,0)))</f>
        <v>0.65</v>
      </c>
      <c r="G49" s="16"/>
      <c r="H49" s="17" t="n">
        <f aca="false">IF(G49="",F49,G49)</f>
        <v>0.65</v>
      </c>
      <c r="I49" s="13" t="str">
        <f aca="false">IF($B49="","",IFERROR(INDEX('Liste des ingrédients'!$G$5:$G$98,MATCH($B49,'Liste des ingrédients'!$B$5:$B$98,0)),""))</f>
        <v>kg</v>
      </c>
      <c r="J49" s="18" t="n">
        <f aca="false">IF($B49="",0,IFERROR(INDEX('Liste des ingrédients'!$H$5:$H$98,MATCH($B49,'Liste des ingrédients'!$B$5:$B$98,0)),0))</f>
        <v>5</v>
      </c>
      <c r="K49" s="18" t="n">
        <f aca="false">IF($B49="",0,H49*J49)</f>
        <v>3.25</v>
      </c>
      <c r="L49" s="13"/>
    </row>
    <row r="50" customFormat="false" ht="15" hidden="false" customHeight="false" outlineLevel="0" collapsed="false">
      <c r="A50" s="13" t="n">
        <f aca="false">IF($B50="","",42)</f>
        <v>42</v>
      </c>
      <c r="B50" s="13" t="str">
        <f aca="false">IF(Listes!A42="","",Listes!A42)</f>
        <v>Pâtes d'orge (châer)</v>
      </c>
      <c r="C50" s="14" t="str">
        <f aca="false">IF($B50="","",IFERROR(INDEX('Liste des ingrédients'!$C$5:$C$98,MATCH($B50,'Liste des ingrédients'!$B$5:$B$98,0)),""))</f>
        <v>شعير (ch3ir)</v>
      </c>
      <c r="D50" s="15" t="n">
        <f aca="false">IF($B50="","",Listes!E42)</f>
        <v>300</v>
      </c>
      <c r="E50" s="13" t="str">
        <f aca="false">IF($B50="","",IF(I50="kg","g",IF(I50="L","ml",I50)))</f>
        <v>g</v>
      </c>
      <c r="F50" s="15" t="n">
        <f aca="false">IF($B50="",0,IF(OR(I50="kg",I50="L"),ROUND(D50/1000,3),ROUNDUP(D50,0)))</f>
        <v>0.3</v>
      </c>
      <c r="G50" s="16"/>
      <c r="H50" s="17" t="n">
        <f aca="false">IF(G50="",F50,G50)</f>
        <v>0.3</v>
      </c>
      <c r="I50" s="13" t="str">
        <f aca="false">IF($B50="","",IFERROR(INDEX('Liste des ingrédients'!$G$5:$G$98,MATCH($B50,'Liste des ingrédients'!$B$5:$B$98,0)),""))</f>
        <v>kg</v>
      </c>
      <c r="J50" s="18" t="n">
        <f aca="false">IF($B50="",0,IFERROR(INDEX('Liste des ingrédients'!$H$5:$H$98,MATCH($B50,'Liste des ingrédients'!$B$5:$B$98,0)),0))</f>
        <v>3.3</v>
      </c>
      <c r="K50" s="18" t="n">
        <f aca="false">IF($B50="",0,H50*J50)</f>
        <v>0.99</v>
      </c>
      <c r="L50" s="13"/>
    </row>
    <row r="51" customFormat="false" ht="15" hidden="false" customHeight="false" outlineLevel="0" collapsed="false">
      <c r="A51" s="13" t="n">
        <f aca="false">IF($B51="","",43)</f>
        <v>43</v>
      </c>
      <c r="B51" s="13" t="str">
        <f aca="false">IF(Listes!A43="","",Listes!A43)</f>
        <v>M'hamsa</v>
      </c>
      <c r="C51" s="14" t="str">
        <f aca="false">IF($B51="","",IFERROR(INDEX('Liste des ingrédients'!$C$5:$C$98,MATCH($B51,'Liste des ingrédients'!$B$5:$B$98,0)),""))</f>
        <v>محمصة (m7amsa)</v>
      </c>
      <c r="D51" s="15" t="n">
        <f aca="false">IF($B51="","",Listes!E43)</f>
        <v>250</v>
      </c>
      <c r="E51" s="13" t="str">
        <f aca="false">IF($B51="","",IF(I51="kg","g",IF(I51="L","ml",I51)))</f>
        <v>g</v>
      </c>
      <c r="F51" s="15" t="n">
        <f aca="false">IF($B51="",0,IF(OR(I51="kg",I51="L"),ROUND(D51/1000,3),ROUNDUP(D51,0)))</f>
        <v>0.25</v>
      </c>
      <c r="G51" s="16"/>
      <c r="H51" s="17" t="n">
        <f aca="false">IF(G51="",F51,G51)</f>
        <v>0.25</v>
      </c>
      <c r="I51" s="13" t="str">
        <f aca="false">IF($B51="","",IFERROR(INDEX('Liste des ingrédients'!$G$5:$G$98,MATCH($B51,'Liste des ingrédients'!$B$5:$B$98,0)),""))</f>
        <v>kg</v>
      </c>
      <c r="J51" s="18" t="n">
        <f aca="false">IF($B51="",0,IFERROR(INDEX('Liste des ingrédients'!$H$5:$H$98,MATCH($B51,'Liste des ingrédients'!$B$5:$B$98,0)),0))</f>
        <v>6</v>
      </c>
      <c r="K51" s="18" t="n">
        <f aca="false">IF($B51="",0,H51*J51)</f>
        <v>1.5</v>
      </c>
      <c r="L51" s="13"/>
    </row>
    <row r="52" customFormat="false" ht="15" hidden="false" customHeight="false" outlineLevel="0" collapsed="false">
      <c r="A52" s="13" t="n">
        <f aca="false">IF($B52="","",44)</f>
        <v>44</v>
      </c>
      <c r="B52" s="13" t="str">
        <f aca="false">IF(Listes!A44="","",Listes!A44)</f>
        <v>Frik</v>
      </c>
      <c r="C52" s="14" t="str">
        <f aca="false">IF($B52="","",IFERROR(INDEX('Liste des ingrédients'!$C$5:$C$98,MATCH($B52,'Liste des ingrédients'!$B$5:$B$98,0)),""))</f>
        <v>فريك (frik)</v>
      </c>
      <c r="D52" s="15" t="n">
        <f aca="false">IF($B52="","",Listes!E44)</f>
        <v>150</v>
      </c>
      <c r="E52" s="13" t="str">
        <f aca="false">IF($B52="","",IF(I52="kg","g",IF(I52="L","ml",I52)))</f>
        <v>g</v>
      </c>
      <c r="F52" s="15" t="n">
        <f aca="false">IF($B52="",0,IF(OR(I52="kg",I52="L"),ROUND(D52/1000,3),ROUNDUP(D52,0)))</f>
        <v>0.15</v>
      </c>
      <c r="G52" s="16"/>
      <c r="H52" s="17" t="n">
        <f aca="false">IF(G52="",F52,G52)</f>
        <v>0.15</v>
      </c>
      <c r="I52" s="13" t="str">
        <f aca="false">IF($B52="","",IFERROR(INDEX('Liste des ingrédients'!$G$5:$G$98,MATCH($B52,'Liste des ingrédients'!$B$5:$B$98,0)),""))</f>
        <v>kg</v>
      </c>
      <c r="J52" s="18" t="n">
        <f aca="false">IF($B52="",0,IFERROR(INDEX('Liste des ingrédients'!$H$5:$H$98,MATCH($B52,'Liste des ingrédients'!$B$5:$B$98,0)),0))</f>
        <v>10</v>
      </c>
      <c r="K52" s="18" t="n">
        <f aca="false">IF($B52="",0,H52*J52)</f>
        <v>1.5</v>
      </c>
      <c r="L52" s="13"/>
    </row>
    <row r="53" customFormat="false" ht="15" hidden="false" customHeight="false" outlineLevel="0" collapsed="false">
      <c r="A53" s="13" t="n">
        <f aca="false">IF($B53="","",45)</f>
        <v>45</v>
      </c>
      <c r="B53" s="13" t="str">
        <f aca="false">IF(Listes!A45="","",Listes!A45)</f>
        <v>Langues d'oiseaux</v>
      </c>
      <c r="C53" s="14" t="str">
        <f aca="false">IF($B53="","",IFERROR(INDEX('Liste des ingrédients'!$C$5:$C$98,MATCH($B53,'Liste des ingrédients'!$B$5:$B$98,0)),""))</f>
        <v>لسان عصفور (lsan 3asfour)</v>
      </c>
      <c r="D53" s="15" t="n">
        <f aca="false">IF($B53="","",Listes!E45)</f>
        <v>120</v>
      </c>
      <c r="E53" s="13" t="str">
        <f aca="false">IF($B53="","",IF(I53="kg","g",IF(I53="L","ml",I53)))</f>
        <v>g</v>
      </c>
      <c r="F53" s="15" t="n">
        <f aca="false">IF($B53="",0,IF(OR(I53="kg",I53="L"),ROUND(D53/1000,3),ROUNDUP(D53,0)))</f>
        <v>0.12</v>
      </c>
      <c r="G53" s="16"/>
      <c r="H53" s="17" t="n">
        <f aca="false">IF(G53="",F53,G53)</f>
        <v>0.12</v>
      </c>
      <c r="I53" s="13" t="str">
        <f aca="false">IF($B53="","",IFERROR(INDEX('Liste des ingrédients'!$G$5:$G$98,MATCH($B53,'Liste des ingrédients'!$B$5:$B$98,0)),""))</f>
        <v>kg</v>
      </c>
      <c r="J53" s="18" t="n">
        <f aca="false">IF($B53="",0,IFERROR(INDEX('Liste des ingrédients'!$H$5:$H$98,MATCH($B53,'Liste des ingrédients'!$B$5:$B$98,0)),0))</f>
        <v>4</v>
      </c>
      <c r="K53" s="18" t="n">
        <f aca="false">IF($B53="",0,H53*J53)</f>
        <v>0.48</v>
      </c>
      <c r="L53" s="13"/>
    </row>
    <row r="54" customFormat="false" ht="15" hidden="false" customHeight="false" outlineLevel="0" collapsed="false">
      <c r="A54" s="13" t="n">
        <f aca="false">IF($B54="","",46)</f>
        <v>46</v>
      </c>
      <c r="B54" s="13" t="str">
        <f aca="false">IF(Listes!A46="","",Listes!A46)</f>
        <v>Pois chiches secs</v>
      </c>
      <c r="C54" s="14" t="str">
        <f aca="false">IF($B54="","",IFERROR(INDEX('Liste des ingrédients'!$C$5:$C$98,MATCH($B54,'Liste des ingrédients'!$B$5:$B$98,0)),""))</f>
        <v>حمص (7ommos)</v>
      </c>
      <c r="D54" s="15" t="n">
        <f aca="false">IF($B54="","",Listes!E46)</f>
        <v>350</v>
      </c>
      <c r="E54" s="13" t="str">
        <f aca="false">IF($B54="","",IF(I54="kg","g",IF(I54="L","ml",I54)))</f>
        <v>g</v>
      </c>
      <c r="F54" s="15" t="n">
        <f aca="false">IF($B54="",0,IF(OR(I54="kg",I54="L"),ROUND(D54/1000,3),ROUNDUP(D54,0)))</f>
        <v>0.35</v>
      </c>
      <c r="G54" s="16"/>
      <c r="H54" s="17" t="n">
        <f aca="false">IF(G54="",F54,G54)</f>
        <v>0.35</v>
      </c>
      <c r="I54" s="13" t="str">
        <f aca="false">IF($B54="","",IFERROR(INDEX('Liste des ingrédients'!$G$5:$G$98,MATCH($B54,'Liste des ingrédients'!$B$5:$B$98,0)),""))</f>
        <v>kg</v>
      </c>
      <c r="J54" s="18" t="n">
        <f aca="false">IF($B54="",0,IFERROR(INDEX('Liste des ingrédients'!$H$5:$H$98,MATCH($B54,'Liste des ingrédients'!$B$5:$B$98,0)),0))</f>
        <v>6</v>
      </c>
      <c r="K54" s="18" t="n">
        <f aca="false">IF($B54="",0,H54*J54)</f>
        <v>2.1</v>
      </c>
      <c r="L54" s="13"/>
    </row>
    <row r="55" customFormat="false" ht="15" hidden="false" customHeight="false" outlineLevel="0" collapsed="false">
      <c r="A55" s="13" t="n">
        <f aca="false">IF($B55="","",47)</f>
        <v>47</v>
      </c>
      <c r="B55" s="13" t="str">
        <f aca="false">IF(Listes!A47="","",Listes!A47)</f>
        <v>Haricots blancs secs</v>
      </c>
      <c r="C55" s="14" t="str">
        <f aca="false">IF($B55="","",IFERROR(INDEX('Liste des ingrédients'!$C$5:$C$98,MATCH($B55,'Liste des ingrédients'!$B$5:$B$98,0)),""))</f>
        <v>لوبيا (loubya)</v>
      </c>
      <c r="D55" s="15" t="n">
        <f aca="false">IF($B55="","",Listes!E47)</f>
        <v>300</v>
      </c>
      <c r="E55" s="13" t="str">
        <f aca="false">IF($B55="","",IF(I55="kg","g",IF(I55="L","ml",I55)))</f>
        <v>g</v>
      </c>
      <c r="F55" s="15" t="n">
        <f aca="false">IF($B55="",0,IF(OR(I55="kg",I55="L"),ROUND(D55/1000,3),ROUNDUP(D55,0)))</f>
        <v>0.3</v>
      </c>
      <c r="G55" s="16"/>
      <c r="H55" s="17" t="n">
        <f aca="false">IF(G55="",F55,G55)</f>
        <v>0.3</v>
      </c>
      <c r="I55" s="13" t="str">
        <f aca="false">IF($B55="","",IFERROR(INDEX('Liste des ingrédients'!$G$5:$G$98,MATCH($B55,'Liste des ingrédients'!$B$5:$B$98,0)),""))</f>
        <v>kg</v>
      </c>
      <c r="J55" s="18" t="n">
        <f aca="false">IF($B55="",0,IFERROR(INDEX('Liste des ingrédients'!$H$5:$H$98,MATCH($B55,'Liste des ingrédients'!$B$5:$B$98,0)),0))</f>
        <v>6</v>
      </c>
      <c r="K55" s="18" t="n">
        <f aca="false">IF($B55="",0,H55*J55)</f>
        <v>1.8</v>
      </c>
      <c r="L55" s="13"/>
    </row>
    <row r="56" customFormat="false" ht="15" hidden="false" customHeight="false" outlineLevel="0" collapsed="false">
      <c r="A56" s="13" t="n">
        <f aca="false">IF($B56="","",48)</f>
        <v>48</v>
      </c>
      <c r="B56" s="13" t="str">
        <f aca="false">IF(Listes!A48="","",Listes!A48)</f>
        <v>Feuilles de malsouka</v>
      </c>
      <c r="C56" s="14" t="str">
        <f aca="false">IF($B56="","",IFERROR(INDEX('Liste des ingrédients'!$C$5:$C$98,MATCH($B56,'Liste des ingrédients'!$B$5:$B$98,0)),""))</f>
        <v>ملسوقة (malsouka)</v>
      </c>
      <c r="D56" s="15" t="n">
        <f aca="false">IF($B56="","",Listes!E48)</f>
        <v>1.75</v>
      </c>
      <c r="E56" s="13" t="str">
        <f aca="false">IF($B56="","",IF(I56="kg","g",IF(I56="L","ml",I56)))</f>
        <v>paquet</v>
      </c>
      <c r="F56" s="15" t="n">
        <f aca="false">IF($B56="",0,IF(OR(I56="kg",I56="L"),ROUND(D56/1000,3),ROUNDUP(D56,0)))</f>
        <v>2</v>
      </c>
      <c r="G56" s="16"/>
      <c r="H56" s="17" t="n">
        <f aca="false">IF(G56="",F56,G56)</f>
        <v>2</v>
      </c>
      <c r="I56" s="13" t="str">
        <f aca="false">IF($B56="","",IFERROR(INDEX('Liste des ingrédients'!$G$5:$G$98,MATCH($B56,'Liste des ingrédients'!$B$5:$B$98,0)),""))</f>
        <v>paquet</v>
      </c>
      <c r="J56" s="18" t="n">
        <f aca="false">IF($B56="",0,IFERROR(INDEX('Liste des ingrédients'!$H$5:$H$98,MATCH($B56,'Liste des ingrédients'!$B$5:$B$98,0)),0))</f>
        <v>1.5</v>
      </c>
      <c r="K56" s="18" t="n">
        <f aca="false">IF($B56="",0,H56*J56)</f>
        <v>3</v>
      </c>
      <c r="L56" s="13"/>
    </row>
    <row r="57" customFormat="false" ht="15" hidden="false" customHeight="false" outlineLevel="0" collapsed="false">
      <c r="A57" s="13" t="n">
        <f aca="false">IF($B57="","",49)</f>
        <v>49</v>
      </c>
      <c r="B57" s="13" t="str">
        <f aca="false">IF(Listes!A49="","",Listes!A49)</f>
        <v>Farine ou semoule fine</v>
      </c>
      <c r="C57" s="14" t="str">
        <f aca="false">IF($B57="","",IFERROR(INDEX('Liste des ingrédients'!$C$5:$C$98,MATCH($B57,'Liste des ingrédients'!$B$5:$B$98,0)),""))</f>
        <v>فارينة (farina) / سميد رقيق (smid rgig)</v>
      </c>
      <c r="D57" s="15" t="n">
        <f aca="false">IF($B57="","",Listes!E49)</f>
        <v>500</v>
      </c>
      <c r="E57" s="13" t="str">
        <f aca="false">IF($B57="","",IF(I57="kg","g",IF(I57="L","ml",I57)))</f>
        <v>g</v>
      </c>
      <c r="F57" s="15" t="n">
        <f aca="false">IF($B57="",0,IF(OR(I57="kg",I57="L"),ROUND(D57/1000,3),ROUNDUP(D57,0)))</f>
        <v>0.5</v>
      </c>
      <c r="G57" s="16"/>
      <c r="H57" s="17" t="n">
        <f aca="false">IF(G57="",F57,G57)</f>
        <v>0.5</v>
      </c>
      <c r="I57" s="13" t="str">
        <f aca="false">IF($B57="","",IFERROR(INDEX('Liste des ingrédients'!$G$5:$G$98,MATCH($B57,'Liste des ingrédients'!$B$5:$B$98,0)),""))</f>
        <v>kg</v>
      </c>
      <c r="J57" s="18" t="n">
        <f aca="false">IF($B57="",0,IFERROR(INDEX('Liste des ingrédients'!$H$5:$H$98,MATCH($B57,'Liste des ingrédients'!$B$5:$B$98,0)),0))</f>
        <v>1.2</v>
      </c>
      <c r="K57" s="18" t="n">
        <f aca="false">IF($B57="",0,H57*J57)</f>
        <v>0.6</v>
      </c>
      <c r="L57" s="13"/>
    </row>
    <row r="58" customFormat="false" ht="15" hidden="false" customHeight="false" outlineLevel="0" collapsed="false">
      <c r="A58" s="13" t="n">
        <f aca="false">IF($B58="","",50)</f>
        <v>50</v>
      </c>
      <c r="B58" s="13" t="str">
        <f aca="false">IF(Listes!A50="","",Listes!A50)</f>
        <v>Levure boulangère</v>
      </c>
      <c r="C58" s="14" t="str">
        <f aca="false">IF($B58="","",IFERROR(INDEX('Liste des ingrédients'!$C$5:$C$98,MATCH($B58,'Liste des ingrédients'!$B$5:$B$98,0)),""))</f>
        <v>خميرة (khmira)</v>
      </c>
      <c r="D58" s="15" t="n">
        <f aca="false">IF($B58="","",Listes!E50)</f>
        <v>1</v>
      </c>
      <c r="E58" s="13" t="str">
        <f aca="false">IF($B58="","",IF(I58="kg","g",IF(I58="L","ml",I58)))</f>
        <v>sachet</v>
      </c>
      <c r="F58" s="15" t="n">
        <f aca="false">IF($B58="",0,IF(OR(I58="kg",I58="L"),ROUND(D58/1000,3),ROUNDUP(D58,0)))</f>
        <v>1</v>
      </c>
      <c r="G58" s="16"/>
      <c r="H58" s="17" t="n">
        <f aca="false">IF(G58="",F58,G58)</f>
        <v>1</v>
      </c>
      <c r="I58" s="13" t="str">
        <f aca="false">IF($B58="","",IFERROR(INDEX('Liste des ingrédients'!$G$5:$G$98,MATCH($B58,'Liste des ingrédients'!$B$5:$B$98,0)),""))</f>
        <v>sachet</v>
      </c>
      <c r="J58" s="18" t="n">
        <f aca="false">IF($B58="",0,IFERROR(INDEX('Liste des ingrédients'!$H$5:$H$98,MATCH($B58,'Liste des ingrédients'!$B$5:$B$98,0)),0))</f>
        <v>0.3</v>
      </c>
      <c r="K58" s="18" t="n">
        <f aca="false">IF($B58="",0,H58*J58)</f>
        <v>0.3</v>
      </c>
      <c r="L58" s="13"/>
    </row>
    <row r="59" customFormat="false" ht="15" hidden="false" customHeight="false" outlineLevel="0" collapsed="false">
      <c r="A59" s="13" t="n">
        <f aca="false">IF($B59="","",51)</f>
        <v>51</v>
      </c>
      <c r="B59" s="13" t="str">
        <f aca="false">IF(Listes!A51="","",Listes!A51)</f>
        <v>Chapelure</v>
      </c>
      <c r="C59" s="14" t="str">
        <f aca="false">IF($B59="","",IFERROR(INDEX('Liste des ingrédients'!$C$5:$C$98,MATCH($B59,'Liste des ingrédients'!$B$5:$B$98,0)),""))</f>
        <v>شابلور (chapelure)</v>
      </c>
      <c r="D59" s="15" t="n">
        <f aca="false">IF($B59="","",Listes!E51)</f>
        <v>60</v>
      </c>
      <c r="E59" s="13" t="str">
        <f aca="false">IF($B59="","",IF(I59="kg","g",IF(I59="L","ml",I59)))</f>
        <v>g</v>
      </c>
      <c r="F59" s="15" t="n">
        <f aca="false">IF($B59="",0,IF(OR(I59="kg",I59="L"),ROUND(D59/1000,3),ROUNDUP(D59,0)))</f>
        <v>0.06</v>
      </c>
      <c r="G59" s="16"/>
      <c r="H59" s="17" t="n">
        <f aca="false">IF(G59="",F59,G59)</f>
        <v>0.06</v>
      </c>
      <c r="I59" s="13" t="str">
        <f aca="false">IF($B59="","",IFERROR(INDEX('Liste des ingrédients'!$G$5:$G$98,MATCH($B59,'Liste des ingrédients'!$B$5:$B$98,0)),""))</f>
        <v>kg</v>
      </c>
      <c r="J59" s="18" t="n">
        <f aca="false">IF($B59="",0,IFERROR(INDEX('Liste des ingrédients'!$H$5:$H$98,MATCH($B59,'Liste des ingrédients'!$B$5:$B$98,0)),0))</f>
        <v>8</v>
      </c>
      <c r="K59" s="18" t="n">
        <f aca="false">IF($B59="",0,H59*J59)</f>
        <v>0.48</v>
      </c>
      <c r="L59" s="13"/>
    </row>
    <row r="60" customFormat="false" ht="15" hidden="false" customHeight="false" outlineLevel="0" collapsed="false">
      <c r="A60" s="13" t="n">
        <f aca="false">IF($B60="","",52)</f>
        <v>52</v>
      </c>
      <c r="B60" s="13" t="str">
        <f aca="false">IF(Listes!A52="","",Listes!A52)</f>
        <v>Pain (baguettes ou tabouna)</v>
      </c>
      <c r="C60" s="14" t="str">
        <f aca="false">IF($B60="","",IFERROR(INDEX('Liste des ingrédients'!$C$5:$C$98,MATCH($B60,'Liste des ingrédients'!$B$5:$B$98,0)),""))</f>
        <v>خبز باقات / طابونة</v>
      </c>
      <c r="D60" s="15" t="n">
        <f aca="false">IF($B60="","",Listes!E52)</f>
        <v>4</v>
      </c>
      <c r="E60" s="13" t="str">
        <f aca="false">IF($B60="","",IF(I60="kg","g",IF(I60="L","ml",I60)))</f>
        <v>baguette</v>
      </c>
      <c r="F60" s="15" t="n">
        <f aca="false">IF($B60="",0,IF(OR(I60="kg",I60="L"),ROUND(D60/1000,3),ROUNDUP(D60,0)))</f>
        <v>4</v>
      </c>
      <c r="G60" s="16"/>
      <c r="H60" s="17" t="n">
        <f aca="false">IF(G60="",F60,G60)</f>
        <v>4</v>
      </c>
      <c r="I60" s="13" t="str">
        <f aca="false">IF($B60="","",IFERROR(INDEX('Liste des ingrédients'!$G$5:$G$98,MATCH($B60,'Liste des ingrédients'!$B$5:$B$98,0)),""))</f>
        <v>baguette</v>
      </c>
      <c r="J60" s="18" t="n">
        <f aca="false">IF($B60="",0,IFERROR(INDEX('Liste des ingrédients'!$H$5:$H$98,MATCH($B60,'Liste des ingrédients'!$B$5:$B$98,0)),0))</f>
        <v>0.2</v>
      </c>
      <c r="K60" s="18" t="n">
        <f aca="false">IF($B60="",0,H60*J60)</f>
        <v>0.8</v>
      </c>
      <c r="L60" s="13"/>
    </row>
    <row r="61" customFormat="false" ht="15" hidden="false" customHeight="false" outlineLevel="0" collapsed="false">
      <c r="A61" s="13" t="n">
        <f aca="false">IF($B61="","",53)</f>
        <v>53</v>
      </c>
      <c r="B61" s="13" t="str">
        <f aca="false">IF(Listes!A53="","",Listes!A53)</f>
        <v>Poudre de mloukhia</v>
      </c>
      <c r="C61" s="14" t="str">
        <f aca="false">IF($B61="","",IFERROR(INDEX('Liste des ingrédients'!$C$5:$C$98,MATCH($B61,'Liste des ingrédients'!$B$5:$B$98,0)),""))</f>
        <v>ملوخية (mloukhia)</v>
      </c>
      <c r="D61" s="15" t="n">
        <f aca="false">IF($B61="","",Listes!E53)</f>
        <v>100</v>
      </c>
      <c r="E61" s="13" t="str">
        <f aca="false">IF($B61="","",IF(I61="kg","g",IF(I61="L","ml",I61)))</f>
        <v>g</v>
      </c>
      <c r="F61" s="15" t="n">
        <f aca="false">IF($B61="",0,IF(OR(I61="kg",I61="L"),ROUND(D61/1000,3),ROUNDUP(D61,0)))</f>
        <v>0.1</v>
      </c>
      <c r="G61" s="16"/>
      <c r="H61" s="17" t="n">
        <f aca="false">IF(G61="",F61,G61)</f>
        <v>0.1</v>
      </c>
      <c r="I61" s="13" t="str">
        <f aca="false">IF($B61="","",IFERROR(INDEX('Liste des ingrédients'!$G$5:$G$98,MATCH($B61,'Liste des ingrédients'!$B$5:$B$98,0)),""))</f>
        <v>kg</v>
      </c>
      <c r="J61" s="18" t="n">
        <f aca="false">IF($B61="",0,IFERROR(INDEX('Liste des ingrédients'!$H$5:$H$98,MATCH($B61,'Liste des ingrédients'!$B$5:$B$98,0)),0))</f>
        <v>40</v>
      </c>
      <c r="K61" s="18" t="n">
        <f aca="false">IF($B61="",0,H61*J61)</f>
        <v>4</v>
      </c>
      <c r="L61" s="13"/>
    </row>
    <row r="62" customFormat="false" ht="15" hidden="false" customHeight="false" outlineLevel="0" collapsed="false">
      <c r="A62" s="13" t="n">
        <f aca="false">IF($B62="","",54)</f>
        <v>54</v>
      </c>
      <c r="B62" s="13" t="str">
        <f aca="false">IF(Listes!A54="","",Listes!A54)</f>
        <v>Huile d'olive</v>
      </c>
      <c r="C62" s="14" t="str">
        <f aca="false">IF($B62="","",IFERROR(INDEX('Liste des ingrédients'!$C$5:$C$98,MATCH($B62,'Liste des ingrédients'!$B$5:$B$98,0)),""))</f>
        <v>زيت زيتون (zit zitoun)</v>
      </c>
      <c r="D62" s="15" t="n">
        <f aca="false">IF($B62="","",Listes!E54)</f>
        <v>2270</v>
      </c>
      <c r="E62" s="13" t="str">
        <f aca="false">IF($B62="","",IF(I62="kg","g",IF(I62="L","ml",I62)))</f>
        <v>ml</v>
      </c>
      <c r="F62" s="15" t="n">
        <f aca="false">IF($B62="",0,IF(OR(I62="kg",I62="L"),ROUND(D62/1000,3),ROUNDUP(D62,0)))</f>
        <v>2.27</v>
      </c>
      <c r="G62" s="16"/>
      <c r="H62" s="17" t="n">
        <f aca="false">IF(G62="",F62,G62)</f>
        <v>2.27</v>
      </c>
      <c r="I62" s="13" t="str">
        <f aca="false">IF($B62="","",IFERROR(INDEX('Liste des ingrédients'!$G$5:$G$98,MATCH($B62,'Liste des ingrédients'!$B$5:$B$98,0)),""))</f>
        <v>L</v>
      </c>
      <c r="J62" s="18" t="n">
        <f aca="false">IF($B62="",0,IFERROR(INDEX('Liste des ingrédients'!$H$5:$H$98,MATCH($B62,'Liste des ingrédients'!$B$5:$B$98,0)),0))</f>
        <v>12.5</v>
      </c>
      <c r="K62" s="18" t="n">
        <f aca="false">IF($B62="",0,H62*J62)</f>
        <v>28.375</v>
      </c>
      <c r="L62" s="13"/>
    </row>
    <row r="63" customFormat="false" ht="15" hidden="false" customHeight="false" outlineLevel="0" collapsed="false">
      <c r="A63" s="13" t="n">
        <f aca="false">IF($B63="","",55)</f>
        <v>55</v>
      </c>
      <c r="B63" s="13" t="str">
        <f aca="false">IF(Listes!A55="","",Listes!A55)</f>
        <v>Huile de friture</v>
      </c>
      <c r="C63" s="14" t="str">
        <f aca="false">IF($B63="","",IFERROR(INDEX('Liste des ingrédients'!$C$5:$C$98,MATCH($B63,'Liste des ingrédients'!$B$5:$B$98,0)),""))</f>
        <v>زيت نباتي (zit nabeti)</v>
      </c>
      <c r="D63" s="15" t="n">
        <f aca="false">IF($B63="","",Listes!E55)</f>
        <v>3200</v>
      </c>
      <c r="E63" s="13" t="str">
        <f aca="false">IF($B63="","",IF(I63="kg","g",IF(I63="L","ml",I63)))</f>
        <v>ml</v>
      </c>
      <c r="F63" s="15" t="n">
        <f aca="false">IF($B63="",0,IF(OR(I63="kg",I63="L"),ROUND(D63/1000,3),ROUNDUP(D63,0)))</f>
        <v>3.2</v>
      </c>
      <c r="G63" s="16"/>
      <c r="H63" s="17" t="n">
        <f aca="false">IF(G63="",F63,G63)</f>
        <v>3.2</v>
      </c>
      <c r="I63" s="13" t="str">
        <f aca="false">IF($B63="","",IFERROR(INDEX('Liste des ingrédients'!$G$5:$G$98,MATCH($B63,'Liste des ingrédients'!$B$5:$B$98,0)),""))</f>
        <v>L</v>
      </c>
      <c r="J63" s="18" t="n">
        <f aca="false">IF($B63="",0,IFERROR(INDEX('Liste des ingrédients'!$H$5:$H$98,MATCH($B63,'Liste des ingrédients'!$B$5:$B$98,0)),0))</f>
        <v>6</v>
      </c>
      <c r="K63" s="18" t="n">
        <f aca="false">IF($B63="",0,H63*J63)</f>
        <v>19.2</v>
      </c>
      <c r="L63" s="13"/>
    </row>
    <row r="64" customFormat="false" ht="15" hidden="false" customHeight="false" outlineLevel="0" collapsed="false">
      <c r="A64" s="13" t="n">
        <f aca="false">IF($B64="","",56)</f>
        <v>56</v>
      </c>
      <c r="B64" s="13" t="str">
        <f aca="false">IF(Listes!A56="","",Listes!A56)</f>
        <v>Concentré de tomate</v>
      </c>
      <c r="C64" s="14" t="str">
        <f aca="false">IF($B64="","",IFERROR(INDEX('Liste des ingrédients'!$C$5:$C$98,MATCH($B64,'Liste des ingrédients'!$B$5:$B$98,0)),""))</f>
        <v>طماطم معجون (tmatem m3ajna)</v>
      </c>
      <c r="D64" s="15" t="n">
        <f aca="false">IF($B64="","",Listes!E56)</f>
        <v>600</v>
      </c>
      <c r="E64" s="13" t="str">
        <f aca="false">IF($B64="","",IF(I64="kg","g",IF(I64="L","ml",I64)))</f>
        <v>g</v>
      </c>
      <c r="F64" s="15" t="n">
        <f aca="false">IF($B64="",0,IF(OR(I64="kg",I64="L"),ROUND(D64/1000,3),ROUNDUP(D64,0)))</f>
        <v>0.6</v>
      </c>
      <c r="G64" s="16"/>
      <c r="H64" s="17" t="n">
        <f aca="false">IF(G64="",F64,G64)</f>
        <v>0.6</v>
      </c>
      <c r="I64" s="13" t="str">
        <f aca="false">IF($B64="","",IFERROR(INDEX('Liste des ingrédients'!$G$5:$G$98,MATCH($B64,'Liste des ingrédients'!$B$5:$B$98,0)),""))</f>
        <v>kg</v>
      </c>
      <c r="J64" s="18" t="n">
        <f aca="false">IF($B64="",0,IFERROR(INDEX('Liste des ingrédients'!$H$5:$H$98,MATCH($B64,'Liste des ingrédients'!$B$5:$B$98,0)),0))</f>
        <v>9</v>
      </c>
      <c r="K64" s="18" t="n">
        <f aca="false">IF($B64="",0,H64*J64)</f>
        <v>5.4</v>
      </c>
      <c r="L64" s="13"/>
    </row>
    <row r="65" customFormat="false" ht="15" hidden="false" customHeight="false" outlineLevel="0" collapsed="false">
      <c r="A65" s="13" t="n">
        <f aca="false">IF($B65="","",57)</f>
        <v>57</v>
      </c>
      <c r="B65" s="13" t="str">
        <f aca="false">IF(Listes!A57="","",Listes!A57)</f>
        <v>Harissa</v>
      </c>
      <c r="C65" s="14" t="str">
        <f aca="false">IF($B65="","",IFERROR(INDEX('Liste des ingrédients'!$C$5:$C$98,MATCH($B65,'Liste des ingrédients'!$B$5:$B$98,0)),""))</f>
        <v>هريسة (harissa)</v>
      </c>
      <c r="D65" s="15" t="n">
        <f aca="false">IF($B65="","",Listes!E57)</f>
        <v>173</v>
      </c>
      <c r="E65" s="13" t="str">
        <f aca="false">IF($B65="","",IF(I65="kg","g",IF(I65="L","ml",I65)))</f>
        <v>g</v>
      </c>
      <c r="F65" s="15" t="n">
        <f aca="false">IF($B65="",0,IF(OR(I65="kg",I65="L"),ROUND(D65/1000,3),ROUNDUP(D65,0)))</f>
        <v>0.173</v>
      </c>
      <c r="G65" s="16"/>
      <c r="H65" s="17" t="n">
        <f aca="false">IF(G65="",F65,G65)</f>
        <v>0.173</v>
      </c>
      <c r="I65" s="13" t="str">
        <f aca="false">IF($B65="","",IFERROR(INDEX('Liste des ingrédients'!$G$5:$G$98,MATCH($B65,'Liste des ingrédients'!$B$5:$B$98,0)),""))</f>
        <v>kg</v>
      </c>
      <c r="J65" s="18" t="n">
        <f aca="false">IF($B65="",0,IFERROR(INDEX('Liste des ingrédients'!$H$5:$H$98,MATCH($B65,'Liste des ingrédients'!$B$5:$B$98,0)),0))</f>
        <v>11</v>
      </c>
      <c r="K65" s="18" t="n">
        <f aca="false">IF($B65="",0,H65*J65)</f>
        <v>1.903</v>
      </c>
      <c r="L65" s="13"/>
    </row>
    <row r="66" customFormat="false" ht="15" hidden="false" customHeight="false" outlineLevel="0" collapsed="false">
      <c r="A66" s="13" t="n">
        <f aca="false">IF($B66="","",58)</f>
        <v>58</v>
      </c>
      <c r="B66" s="13" t="str">
        <f aca="false">IF(Listes!A58="","",Listes!A58)</f>
        <v>Tabel (ou tabel-karwiya)</v>
      </c>
      <c r="C66" s="14" t="str">
        <f aca="false">IF($B66="","",IFERROR(INDEX('Liste des ingrédients'!$C$5:$C$98,MATCH($B66,'Liste des ingrédients'!$B$5:$B$98,0)),""))</f>
        <v>تابل (tabel)</v>
      </c>
      <c r="D66" s="15" t="n">
        <f aca="false">IF($B66="","",Listes!E58)</f>
        <v>46</v>
      </c>
      <c r="E66" s="13" t="str">
        <f aca="false">IF($B66="","",IF(I66="kg","g",IF(I66="L","ml",I66)))</f>
        <v>g</v>
      </c>
      <c r="F66" s="15" t="n">
        <f aca="false">IF($B66="",0,IF(OR(I66="kg",I66="L"),ROUND(D66/1000,3),ROUNDUP(D66,0)))</f>
        <v>0.046</v>
      </c>
      <c r="G66" s="16"/>
      <c r="H66" s="17" t="n">
        <f aca="false">IF(G66="",F66,G66)</f>
        <v>0.046</v>
      </c>
      <c r="I66" s="13" t="str">
        <f aca="false">IF($B66="","",IFERROR(INDEX('Liste des ingrédients'!$G$5:$G$98,MATCH($B66,'Liste des ingrédients'!$B$5:$B$98,0)),""))</f>
        <v>kg</v>
      </c>
      <c r="J66" s="18" t="n">
        <f aca="false">IF($B66="",0,IFERROR(INDEX('Liste des ingrédients'!$H$5:$H$98,MATCH($B66,'Liste des ingrédients'!$B$5:$B$98,0)),0))</f>
        <v>33</v>
      </c>
      <c r="K66" s="18" t="n">
        <f aca="false">IF($B66="",0,H66*J66)</f>
        <v>1.518</v>
      </c>
      <c r="L66" s="13"/>
    </row>
    <row r="67" customFormat="false" ht="15" hidden="false" customHeight="false" outlineLevel="0" collapsed="false">
      <c r="A67" s="13" t="n">
        <f aca="false">IF($B67="","",59)</f>
        <v>59</v>
      </c>
      <c r="B67" s="13" t="str">
        <f aca="false">IF(Listes!A59="","",Listes!A59)</f>
        <v>Curcuma</v>
      </c>
      <c r="C67" s="14" t="str">
        <f aca="false">IF($B67="","",IFERROR(INDEX('Liste des ingrédients'!$C$5:$C$98,MATCH($B67,'Liste des ingrédients'!$B$5:$B$98,0)),""))</f>
        <v>عقدة صفراء (3agda safra)</v>
      </c>
      <c r="D67" s="15" t="n">
        <f aca="false">IF($B67="","",Listes!E59)</f>
        <v>30</v>
      </c>
      <c r="E67" s="13" t="str">
        <f aca="false">IF($B67="","",IF(I67="kg","g",IF(I67="L","ml",I67)))</f>
        <v>g</v>
      </c>
      <c r="F67" s="15" t="n">
        <f aca="false">IF($B67="",0,IF(OR(I67="kg",I67="L"),ROUND(D67/1000,3),ROUNDUP(D67,0)))</f>
        <v>0.03</v>
      </c>
      <c r="G67" s="16"/>
      <c r="H67" s="17" t="n">
        <f aca="false">IF(G67="",F67,G67)</f>
        <v>0.03</v>
      </c>
      <c r="I67" s="13" t="str">
        <f aca="false">IF($B67="","",IFERROR(INDEX('Liste des ingrédients'!$G$5:$G$98,MATCH($B67,'Liste des ingrédients'!$B$5:$B$98,0)),""))</f>
        <v>kg</v>
      </c>
      <c r="J67" s="18" t="n">
        <f aca="false">IF($B67="",0,IFERROR(INDEX('Liste des ingrédients'!$H$5:$H$98,MATCH($B67,'Liste des ingrédients'!$B$5:$B$98,0)),0))</f>
        <v>40</v>
      </c>
      <c r="K67" s="18" t="n">
        <f aca="false">IF($B67="",0,H67*J67)</f>
        <v>1.2</v>
      </c>
      <c r="L67" s="13"/>
    </row>
    <row r="68" customFormat="false" ht="15" hidden="false" customHeight="false" outlineLevel="0" collapsed="false">
      <c r="A68" s="13" t="n">
        <f aca="false">IF($B68="","",60)</f>
        <v>60</v>
      </c>
      <c r="B68" s="13" t="str">
        <f aca="false">IF(Listes!A60="","",Listes!A60)</f>
        <v>Piment doux / paprika</v>
      </c>
      <c r="C68" s="14" t="str">
        <f aca="false">IF($B68="","",IFERROR(INDEX('Liste des ingrédients'!$C$5:$C$98,MATCH($B68,'Liste des ingrédients'!$B$5:$B$98,0)),""))</f>
        <v>فلفل زينة (felfel zina)</v>
      </c>
      <c r="D68" s="15" t="n">
        <f aca="false">IF($B68="","",Listes!E60)</f>
        <v>22.5</v>
      </c>
      <c r="E68" s="13" t="str">
        <f aca="false">IF($B68="","",IF(I68="kg","g",IF(I68="L","ml",I68)))</f>
        <v>g</v>
      </c>
      <c r="F68" s="15" t="n">
        <f aca="false">IF($B68="",0,IF(OR(I68="kg",I68="L"),ROUND(D68/1000,3),ROUNDUP(D68,0)))</f>
        <v>0.023</v>
      </c>
      <c r="G68" s="16"/>
      <c r="H68" s="17" t="n">
        <f aca="false">IF(G68="",F68,G68)</f>
        <v>0.023</v>
      </c>
      <c r="I68" s="13" t="str">
        <f aca="false">IF($B68="","",IFERROR(INDEX('Liste des ingrédients'!$G$5:$G$98,MATCH($B68,'Liste des ingrédients'!$B$5:$B$98,0)),""))</f>
        <v>kg</v>
      </c>
      <c r="J68" s="18" t="n">
        <f aca="false">IF($B68="",0,IFERROR(INDEX('Liste des ingrédients'!$H$5:$H$98,MATCH($B68,'Liste des ingrédients'!$B$5:$B$98,0)),0))</f>
        <v>40</v>
      </c>
      <c r="K68" s="18" t="n">
        <f aca="false">IF($B68="",0,H68*J68)</f>
        <v>0.92</v>
      </c>
      <c r="L68" s="13"/>
    </row>
    <row r="69" customFormat="false" ht="15" hidden="false" customHeight="false" outlineLevel="0" collapsed="false">
      <c r="A69" s="13" t="n">
        <f aca="false">IF($B69="","",61)</f>
        <v>61</v>
      </c>
      <c r="B69" s="13" t="str">
        <f aca="false">IF(Listes!A61="","",Listes!A61)</f>
        <v>Carvi</v>
      </c>
      <c r="C69" s="14" t="str">
        <f aca="false">IF($B69="","",IFERROR(INDEX('Liste des ingrédients'!$C$5:$C$98,MATCH($B69,'Liste des ingrédients'!$B$5:$B$98,0)),""))</f>
        <v>كروية (karwiya)</v>
      </c>
      <c r="D69" s="15" t="n">
        <f aca="false">IF($B69="","",Listes!E61)</f>
        <v>18</v>
      </c>
      <c r="E69" s="13" t="str">
        <f aca="false">IF($B69="","",IF(I69="kg","g",IF(I69="L","ml",I69)))</f>
        <v>g</v>
      </c>
      <c r="F69" s="15" t="n">
        <f aca="false">IF($B69="",0,IF(OR(I69="kg",I69="L"),ROUND(D69/1000,3),ROUNDUP(D69,0)))</f>
        <v>0.018</v>
      </c>
      <c r="G69" s="16"/>
      <c r="H69" s="17" t="n">
        <f aca="false">IF(G69="",F69,G69)</f>
        <v>0.018</v>
      </c>
      <c r="I69" s="13" t="str">
        <f aca="false">IF($B69="","",IFERROR(INDEX('Liste des ingrédients'!$G$5:$G$98,MATCH($B69,'Liste des ingrédients'!$B$5:$B$98,0)),""))</f>
        <v>kg</v>
      </c>
      <c r="J69" s="18" t="n">
        <f aca="false">IF($B69="",0,IFERROR(INDEX('Liste des ingrédients'!$H$5:$H$98,MATCH($B69,'Liste des ingrédients'!$B$5:$B$98,0)),0))</f>
        <v>40</v>
      </c>
      <c r="K69" s="18" t="n">
        <f aca="false">IF($B69="",0,H69*J69)</f>
        <v>0.72</v>
      </c>
      <c r="L69" s="13"/>
    </row>
    <row r="70" customFormat="false" ht="15" hidden="false" customHeight="false" outlineLevel="0" collapsed="false">
      <c r="A70" s="13" t="n">
        <f aca="false">IF($B70="","",62)</f>
        <v>62</v>
      </c>
      <c r="B70" s="13" t="str">
        <f aca="false">IF(Listes!A62="","",Listes!A62)</f>
        <v>Menthe séchée</v>
      </c>
      <c r="C70" s="14" t="str">
        <f aca="false">IF($B70="","",IFERROR(INDEX('Liste des ingrédients'!$C$5:$C$98,MATCH($B70,'Liste des ingrédients'!$B$5:$B$98,0)),""))</f>
        <v>نعناع شايح (na3na3 cheye7)</v>
      </c>
      <c r="D70" s="15" t="n">
        <f aca="false">IF($B70="","",Listes!E62)</f>
        <v>7</v>
      </c>
      <c r="E70" s="13" t="str">
        <f aca="false">IF($B70="","",IF(I70="kg","g",IF(I70="L","ml",I70)))</f>
        <v>g</v>
      </c>
      <c r="F70" s="15" t="n">
        <f aca="false">IF($B70="",0,IF(OR(I70="kg",I70="L"),ROUND(D70/1000,3),ROUNDUP(D70,0)))</f>
        <v>0.007</v>
      </c>
      <c r="G70" s="16"/>
      <c r="H70" s="17" t="n">
        <f aca="false">IF(G70="",F70,G70)</f>
        <v>0.007</v>
      </c>
      <c r="I70" s="13" t="str">
        <f aca="false">IF($B70="","",IFERROR(INDEX('Liste des ingrédients'!$G$5:$G$98,MATCH($B70,'Liste des ingrédients'!$B$5:$B$98,0)),""))</f>
        <v>kg</v>
      </c>
      <c r="J70" s="18" t="n">
        <f aca="false">IF($B70="",0,IFERROR(INDEX('Liste des ingrédients'!$H$5:$H$98,MATCH($B70,'Liste des ingrédients'!$B$5:$B$98,0)),0))</f>
        <v>50</v>
      </c>
      <c r="K70" s="18" t="n">
        <f aca="false">IF($B70="",0,H70*J70)</f>
        <v>0.35</v>
      </c>
      <c r="L70" s="13"/>
    </row>
    <row r="71" customFormat="false" ht="15" hidden="false" customHeight="false" outlineLevel="0" collapsed="false">
      <c r="A71" s="13" t="n">
        <f aca="false">IF($B71="","",63)</f>
        <v>63</v>
      </c>
      <c r="B71" s="13" t="str">
        <f aca="false">IF(Listes!A63="","",Listes!A63)</f>
        <v>Cumin</v>
      </c>
      <c r="C71" s="14" t="str">
        <f aca="false">IF($B71="","",IFERROR(INDEX('Liste des ingrédients'!$C$5:$C$98,MATCH($B71,'Liste des ingrédients'!$B$5:$B$98,0)),""))</f>
        <v>كمون (kammoun)</v>
      </c>
      <c r="D71" s="15" t="n">
        <f aca="false">IF($B71="","",Listes!E63)</f>
        <v>6</v>
      </c>
      <c r="E71" s="13" t="str">
        <f aca="false">IF($B71="","",IF(I71="kg","g",IF(I71="L","ml",I71)))</f>
        <v>g</v>
      </c>
      <c r="F71" s="15" t="n">
        <f aca="false">IF($B71="",0,IF(OR(I71="kg",I71="L"),ROUND(D71/1000,3),ROUNDUP(D71,0)))</f>
        <v>0.006</v>
      </c>
      <c r="G71" s="16"/>
      <c r="H71" s="17" t="n">
        <f aca="false">IF(G71="",F71,G71)</f>
        <v>0.006</v>
      </c>
      <c r="I71" s="13" t="str">
        <f aca="false">IF($B71="","",IFERROR(INDEX('Liste des ingrédients'!$G$5:$G$98,MATCH($B71,'Liste des ingrédients'!$B$5:$B$98,0)),""))</f>
        <v>kg</v>
      </c>
      <c r="J71" s="18" t="n">
        <f aca="false">IF($B71="",0,IFERROR(INDEX('Liste des ingrédients'!$H$5:$H$98,MATCH($B71,'Liste des ingrédients'!$B$5:$B$98,0)),0))</f>
        <v>50</v>
      </c>
      <c r="K71" s="18" t="n">
        <f aca="false">IF($B71="",0,H71*J71)</f>
        <v>0.3</v>
      </c>
      <c r="L71" s="13"/>
    </row>
    <row r="72" customFormat="false" ht="15" hidden="false" customHeight="false" outlineLevel="0" collapsed="false">
      <c r="A72" s="13" t="n">
        <f aca="false">IF($B72="","",64)</f>
        <v>64</v>
      </c>
      <c r="B72" s="13" t="str">
        <f aca="false">IF(Listes!A64="","",Listes!A64)</f>
        <v>Laurier</v>
      </c>
      <c r="C72" s="14" t="str">
        <f aca="false">IF($B72="","",IFERROR(INDEX('Liste des ingrédients'!$C$5:$C$98,MATCH($B72,'Liste des ingrédients'!$B$5:$B$98,0)),""))</f>
        <v>ورق رند (wra9 rand)</v>
      </c>
      <c r="D72" s="15" t="n">
        <f aca="false">IF($B72="","",Listes!E64)</f>
        <v>1</v>
      </c>
      <c r="E72" s="13" t="str">
        <f aca="false">IF($B72="","",IF(I72="kg","g",IF(I72="L","ml",I72)))</f>
        <v>forfait</v>
      </c>
      <c r="F72" s="15" t="n">
        <f aca="false">IF($B72="",0,IF(OR(I72="kg",I72="L"),ROUND(D72/1000,3),ROUNDUP(D72,0)))</f>
        <v>1</v>
      </c>
      <c r="G72" s="16"/>
      <c r="H72" s="17" t="n">
        <f aca="false">IF(G72="",F72,G72)</f>
        <v>1</v>
      </c>
      <c r="I72" s="13" t="str">
        <f aca="false">IF($B72="","",IFERROR(INDEX('Liste des ingrédients'!$G$5:$G$98,MATCH($B72,'Liste des ingrédients'!$B$5:$B$98,0)),""))</f>
        <v>forfait</v>
      </c>
      <c r="J72" s="18" t="n">
        <f aca="false">IF($B72="",0,IFERROR(INDEX('Liste des ingrédients'!$H$5:$H$98,MATCH($B72,'Liste des ingrédients'!$B$5:$B$98,0)),0))</f>
        <v>0.2</v>
      </c>
      <c r="K72" s="18" t="n">
        <f aca="false">IF($B72="",0,H72*J72)</f>
        <v>0.2</v>
      </c>
      <c r="L72" s="13"/>
    </row>
    <row r="73" customFormat="false" ht="15" hidden="false" customHeight="false" outlineLevel="0" collapsed="false">
      <c r="A73" s="13" t="n">
        <f aca="false">IF($B73="","",65)</f>
        <v>65</v>
      </c>
      <c r="B73" s="13" t="str">
        <f aca="false">IF(Listes!A65="","",Listes!A65)</f>
        <v>Câpres (facultatif)</v>
      </c>
      <c r="C73" s="14" t="str">
        <f aca="false">IF($B73="","",IFERROR(INDEX('Liste des ingrédients'!$C$5:$C$98,MATCH($B73,'Liste des ingrédients'!$B$5:$B$98,0)),""))</f>
        <v>كبار (kabbar)</v>
      </c>
      <c r="D73" s="15" t="n">
        <f aca="false">IF($B73="","",Listes!E65)</f>
        <v>10</v>
      </c>
      <c r="E73" s="13" t="str">
        <f aca="false">IF($B73="","",IF(I73="kg","g",IF(I73="L","ml",I73)))</f>
        <v>g</v>
      </c>
      <c r="F73" s="15" t="n">
        <f aca="false">IF($B73="",0,IF(OR(I73="kg",I73="L"),ROUND(D73/1000,3),ROUNDUP(D73,0)))</f>
        <v>0.01</v>
      </c>
      <c r="G73" s="16"/>
      <c r="H73" s="17" t="n">
        <f aca="false">IF(G73="",F73,G73)</f>
        <v>0.01</v>
      </c>
      <c r="I73" s="13" t="str">
        <f aca="false">IF($B73="","",IFERROR(INDEX('Liste des ingrédients'!$G$5:$G$98,MATCH($B73,'Liste des ingrédients'!$B$5:$B$98,0)),""))</f>
        <v>kg</v>
      </c>
      <c r="J73" s="18" t="n">
        <f aca="false">IF($B73="",0,IFERROR(INDEX('Liste des ingrédients'!$H$5:$H$98,MATCH($B73,'Liste des ingrédients'!$B$5:$B$98,0)),0))</f>
        <v>30</v>
      </c>
      <c r="K73" s="18" t="n">
        <f aca="false">IF($B73="",0,H73*J73)</f>
        <v>0.3</v>
      </c>
      <c r="L73" s="13"/>
    </row>
    <row r="74" customFormat="false" ht="15" hidden="false" customHeight="false" outlineLevel="0" collapsed="false">
      <c r="A74" s="13" t="n">
        <f aca="false">IF($B74="","",66)</f>
        <v>66</v>
      </c>
      <c r="B74" s="13" t="str">
        <f aca="false">IF(Listes!A66="","",Listes!A66)</f>
        <v>Sel</v>
      </c>
      <c r="C74" s="14" t="str">
        <f aca="false">IF($B74="","",IFERROR(INDEX('Liste des ingrédients'!$C$5:$C$98,MATCH($B74,'Liste des ingrédients'!$B$5:$B$98,0)),""))</f>
        <v>ملح (mel7)</v>
      </c>
      <c r="D74" s="15" t="n">
        <f aca="false">IF($B74="","",Listes!E66)</f>
        <v>252</v>
      </c>
      <c r="E74" s="13" t="str">
        <f aca="false">IF($B74="","",IF(I74="kg","g",IF(I74="L","ml",I74)))</f>
        <v>g</v>
      </c>
      <c r="F74" s="15" t="n">
        <f aca="false">IF($B74="",0,IF(OR(I74="kg",I74="L"),ROUND(D74/1000,3),ROUNDUP(D74,0)))</f>
        <v>0.252</v>
      </c>
      <c r="G74" s="16"/>
      <c r="H74" s="17" t="n">
        <f aca="false">IF(G74="",F74,G74)</f>
        <v>0.252</v>
      </c>
      <c r="I74" s="13" t="str">
        <f aca="false">IF($B74="","",IFERROR(INDEX('Liste des ingrédients'!$G$5:$G$98,MATCH($B74,'Liste des ingrédients'!$B$5:$B$98,0)),""))</f>
        <v>kg</v>
      </c>
      <c r="J74" s="18" t="n">
        <f aca="false">IF($B74="",0,IFERROR(INDEX('Liste des ingrédients'!$H$5:$H$98,MATCH($B74,'Liste des ingrédients'!$B$5:$B$98,0)),0))</f>
        <v>0.8</v>
      </c>
      <c r="K74" s="18" t="n">
        <f aca="false">IF($B74="",0,H74*J74)</f>
        <v>0.2016</v>
      </c>
      <c r="L74" s="13"/>
    </row>
    <row r="75" customFormat="false" ht="15" hidden="false" customHeight="false" outlineLevel="0" collapsed="false">
      <c r="A75" s="13" t="n">
        <f aca="false">IF($B75="","",67)</f>
        <v>67</v>
      </c>
      <c r="B75" s="13" t="str">
        <f aca="false">IF(Listes!A67="","",Listes!A67)</f>
        <v>Poivre noir</v>
      </c>
      <c r="C75" s="14" t="str">
        <f aca="false">IF($B75="","",IFERROR(INDEX('Liste des ingrédients'!$C$5:$C$98,MATCH($B75,'Liste des ingrédients'!$B$5:$B$98,0)),""))</f>
        <v>فلفل أكحل (felfel ak7el)</v>
      </c>
      <c r="D75" s="15" t="n">
        <f aca="false">IF($B75="","",Listes!E67)</f>
        <v>29.5</v>
      </c>
      <c r="E75" s="13" t="str">
        <f aca="false">IF($B75="","",IF(I75="kg","g",IF(I75="L","ml",I75)))</f>
        <v>g</v>
      </c>
      <c r="F75" s="15" t="n">
        <f aca="false">IF($B75="",0,IF(OR(I75="kg",I75="L"),ROUND(D75/1000,3),ROUNDUP(D75,0)))</f>
        <v>0.03</v>
      </c>
      <c r="G75" s="16"/>
      <c r="H75" s="17" t="n">
        <f aca="false">IF(G75="",F75,G75)</f>
        <v>0.03</v>
      </c>
      <c r="I75" s="13" t="str">
        <f aca="false">IF($B75="","",IFERROR(INDEX('Liste des ingrédients'!$G$5:$G$98,MATCH($B75,'Liste des ingrédients'!$B$5:$B$98,0)),""))</f>
        <v>kg</v>
      </c>
      <c r="J75" s="18" t="n">
        <f aca="false">IF($B75="",0,IFERROR(INDEX('Liste des ingrédients'!$H$5:$H$98,MATCH($B75,'Liste des ingrédients'!$B$5:$B$98,0)),0))</f>
        <v>50</v>
      </c>
      <c r="K75" s="18" t="n">
        <f aca="false">IF($B75="",0,H75*J75)</f>
        <v>1.5</v>
      </c>
      <c r="L75" s="13"/>
    </row>
    <row r="76" customFormat="false" ht="15" hidden="false" customHeight="false" outlineLevel="0" collapsed="false">
      <c r="A76" s="13" t="str">
        <f aca="false">IF($B76="","",68)</f>
        <v/>
      </c>
      <c r="B76" s="13" t="str">
        <f aca="false">IF(Listes!A68="","",Listes!A68)</f>
        <v/>
      </c>
      <c r="C76" s="14" t="str">
        <f aca="false">IF($B76="","",IFERROR(INDEX('Liste des ingrédients'!$C$5:$C$98,MATCH($B76,'Liste des ingrédients'!$B$5:$B$98,0)),""))</f>
        <v/>
      </c>
      <c r="D76" s="15" t="str">
        <f aca="false">IF($B76="","",Listes!E68)</f>
        <v/>
      </c>
      <c r="E76" s="13" t="str">
        <f aca="false">IF($B76="","",IF(I76="kg","g",IF(I76="L","ml",I76)))</f>
        <v/>
      </c>
      <c r="F76" s="15" t="n">
        <f aca="false">IF($B76="",0,IF(OR(I76="kg",I76="L"),ROUND(D76/1000,3),ROUNDUP(D76,0)))</f>
        <v>0</v>
      </c>
      <c r="G76" s="16"/>
      <c r="H76" s="17" t="n">
        <f aca="false">IF(G76="",F76,G76)</f>
        <v>0</v>
      </c>
      <c r="I76" s="13" t="str">
        <f aca="false">IF($B76="","",IFERROR(INDEX('Liste des ingrédients'!$G$5:$G$98,MATCH($B76,'Liste des ingrédients'!$B$5:$B$98,0)),""))</f>
        <v/>
      </c>
      <c r="J76" s="18" t="n">
        <f aca="false">IF($B76="",0,IFERROR(INDEX('Liste des ingrédients'!$H$5:$H$98,MATCH($B76,'Liste des ingrédients'!$B$5:$B$98,0)),0))</f>
        <v>0</v>
      </c>
      <c r="K76" s="18" t="n">
        <f aca="false">IF($B76="",0,H76*J76)</f>
        <v>0</v>
      </c>
      <c r="L76" s="13"/>
    </row>
    <row r="77" customFormat="false" ht="15" hidden="false" customHeight="false" outlineLevel="0" collapsed="false">
      <c r="A77" s="13" t="str">
        <f aca="false">IF($B77="","",69)</f>
        <v/>
      </c>
      <c r="B77" s="13" t="str">
        <f aca="false">IF(Listes!A69="","",Listes!A69)</f>
        <v/>
      </c>
      <c r="C77" s="14" t="str">
        <f aca="false">IF($B77="","",IFERROR(INDEX('Liste des ingrédients'!$C$5:$C$98,MATCH($B77,'Liste des ingrédients'!$B$5:$B$98,0)),""))</f>
        <v/>
      </c>
      <c r="D77" s="15" t="str">
        <f aca="false">IF($B77="","",Listes!E69)</f>
        <v/>
      </c>
      <c r="E77" s="13" t="str">
        <f aca="false">IF($B77="","",IF(I77="kg","g",IF(I77="L","ml",I77)))</f>
        <v/>
      </c>
      <c r="F77" s="15" t="n">
        <f aca="false">IF($B77="",0,IF(OR(I77="kg",I77="L"),ROUND(D77/1000,3),ROUNDUP(D77,0)))</f>
        <v>0</v>
      </c>
      <c r="G77" s="16"/>
      <c r="H77" s="17" t="n">
        <f aca="false">IF(G77="",F77,G77)</f>
        <v>0</v>
      </c>
      <c r="I77" s="13" t="str">
        <f aca="false">IF($B77="","",IFERROR(INDEX('Liste des ingrédients'!$G$5:$G$98,MATCH($B77,'Liste des ingrédients'!$B$5:$B$98,0)),""))</f>
        <v/>
      </c>
      <c r="J77" s="18" t="n">
        <f aca="false">IF($B77="",0,IFERROR(INDEX('Liste des ingrédients'!$H$5:$H$98,MATCH($B77,'Liste des ingrédients'!$B$5:$B$98,0)),0))</f>
        <v>0</v>
      </c>
      <c r="K77" s="18" t="n">
        <f aca="false">IF($B77="",0,H77*J77)</f>
        <v>0</v>
      </c>
      <c r="L77" s="13"/>
    </row>
    <row r="78" customFormat="false" ht="15" hidden="false" customHeight="false" outlineLevel="0" collapsed="false">
      <c r="A78" s="13" t="str">
        <f aca="false">IF($B78="","",70)</f>
        <v/>
      </c>
      <c r="B78" s="13" t="str">
        <f aca="false">IF(Listes!A70="","",Listes!A70)</f>
        <v/>
      </c>
      <c r="C78" s="14" t="str">
        <f aca="false">IF($B78="","",IFERROR(INDEX('Liste des ingrédients'!$C$5:$C$98,MATCH($B78,'Liste des ingrédients'!$B$5:$B$98,0)),""))</f>
        <v/>
      </c>
      <c r="D78" s="15" t="str">
        <f aca="false">IF($B78="","",Listes!E70)</f>
        <v/>
      </c>
      <c r="E78" s="13" t="str">
        <f aca="false">IF($B78="","",IF(I78="kg","g",IF(I78="L","ml",I78)))</f>
        <v/>
      </c>
      <c r="F78" s="15" t="n">
        <f aca="false">IF($B78="",0,IF(OR(I78="kg",I78="L"),ROUND(D78/1000,3),ROUNDUP(D78,0)))</f>
        <v>0</v>
      </c>
      <c r="G78" s="16"/>
      <c r="H78" s="17" t="n">
        <f aca="false">IF(G78="",F78,G78)</f>
        <v>0</v>
      </c>
      <c r="I78" s="13" t="str">
        <f aca="false">IF($B78="","",IFERROR(INDEX('Liste des ingrédients'!$G$5:$G$98,MATCH($B78,'Liste des ingrédients'!$B$5:$B$98,0)),""))</f>
        <v/>
      </c>
      <c r="J78" s="18" t="n">
        <f aca="false">IF($B78="",0,IFERROR(INDEX('Liste des ingrédients'!$H$5:$H$98,MATCH($B78,'Liste des ingrédients'!$B$5:$B$98,0)),0))</f>
        <v>0</v>
      </c>
      <c r="K78" s="18" t="n">
        <f aca="false">IF($B78="",0,H78*J78)</f>
        <v>0</v>
      </c>
      <c r="L78" s="13"/>
    </row>
    <row r="79" customFormat="false" ht="15" hidden="false" customHeight="false" outlineLevel="0" collapsed="false">
      <c r="A79" s="13" t="str">
        <f aca="false">IF($B79="","",71)</f>
        <v/>
      </c>
      <c r="B79" s="13" t="str">
        <f aca="false">IF(Listes!A71="","",Listes!A71)</f>
        <v/>
      </c>
      <c r="C79" s="14" t="str">
        <f aca="false">IF($B79="","",IFERROR(INDEX('Liste des ingrédients'!$C$5:$C$98,MATCH($B79,'Liste des ingrédients'!$B$5:$B$98,0)),""))</f>
        <v/>
      </c>
      <c r="D79" s="15" t="str">
        <f aca="false">IF($B79="","",Listes!E71)</f>
        <v/>
      </c>
      <c r="E79" s="13" t="str">
        <f aca="false">IF($B79="","",IF(I79="kg","g",IF(I79="L","ml",I79)))</f>
        <v/>
      </c>
      <c r="F79" s="15" t="n">
        <f aca="false">IF($B79="",0,IF(OR(I79="kg",I79="L"),ROUND(D79/1000,3),ROUNDUP(D79,0)))</f>
        <v>0</v>
      </c>
      <c r="G79" s="16"/>
      <c r="H79" s="17" t="n">
        <f aca="false">IF(G79="",F79,G79)</f>
        <v>0</v>
      </c>
      <c r="I79" s="13" t="str">
        <f aca="false">IF($B79="","",IFERROR(INDEX('Liste des ingrédients'!$G$5:$G$98,MATCH($B79,'Liste des ingrédients'!$B$5:$B$98,0)),""))</f>
        <v/>
      </c>
      <c r="J79" s="18" t="n">
        <f aca="false">IF($B79="",0,IFERROR(INDEX('Liste des ingrédients'!$H$5:$H$98,MATCH($B79,'Liste des ingrédients'!$B$5:$B$98,0)),0))</f>
        <v>0</v>
      </c>
      <c r="K79" s="18" t="n">
        <f aca="false">IF($B79="",0,H79*J79)</f>
        <v>0</v>
      </c>
      <c r="L79" s="13"/>
    </row>
    <row r="80" customFormat="false" ht="15" hidden="false" customHeight="false" outlineLevel="0" collapsed="false">
      <c r="A80" s="13" t="str">
        <f aca="false">IF($B80="","",72)</f>
        <v/>
      </c>
      <c r="B80" s="13" t="str">
        <f aca="false">IF(Listes!A72="","",Listes!A72)</f>
        <v/>
      </c>
      <c r="C80" s="14" t="str">
        <f aca="false">IF($B80="","",IFERROR(INDEX('Liste des ingrédients'!$C$5:$C$98,MATCH($B80,'Liste des ingrédients'!$B$5:$B$98,0)),""))</f>
        <v/>
      </c>
      <c r="D80" s="15" t="str">
        <f aca="false">IF($B80="","",Listes!E72)</f>
        <v/>
      </c>
      <c r="E80" s="13" t="str">
        <f aca="false">IF($B80="","",IF(I80="kg","g",IF(I80="L","ml",I80)))</f>
        <v/>
      </c>
      <c r="F80" s="15" t="n">
        <f aca="false">IF($B80="",0,IF(OR(I80="kg",I80="L"),ROUND(D80/1000,3),ROUNDUP(D80,0)))</f>
        <v>0</v>
      </c>
      <c r="G80" s="16"/>
      <c r="H80" s="17" t="n">
        <f aca="false">IF(G80="",F80,G80)</f>
        <v>0</v>
      </c>
      <c r="I80" s="13" t="str">
        <f aca="false">IF($B80="","",IFERROR(INDEX('Liste des ingrédients'!$G$5:$G$98,MATCH($B80,'Liste des ingrédients'!$B$5:$B$98,0)),""))</f>
        <v/>
      </c>
      <c r="J80" s="18" t="n">
        <f aca="false">IF($B80="",0,IFERROR(INDEX('Liste des ingrédients'!$H$5:$H$98,MATCH($B80,'Liste des ingrédients'!$B$5:$B$98,0)),0))</f>
        <v>0</v>
      </c>
      <c r="K80" s="18" t="n">
        <f aca="false">IF($B80="",0,H80*J80)</f>
        <v>0</v>
      </c>
      <c r="L80" s="13"/>
    </row>
    <row r="81" customFormat="false" ht="15" hidden="false" customHeight="false" outlineLevel="0" collapsed="false">
      <c r="A81" s="13" t="str">
        <f aca="false">IF($B81="","",73)</f>
        <v/>
      </c>
      <c r="B81" s="13" t="str">
        <f aca="false">IF(Listes!A73="","",Listes!A73)</f>
        <v/>
      </c>
      <c r="C81" s="14" t="str">
        <f aca="false">IF($B81="","",IFERROR(INDEX('Liste des ingrédients'!$C$5:$C$98,MATCH($B81,'Liste des ingrédients'!$B$5:$B$98,0)),""))</f>
        <v/>
      </c>
      <c r="D81" s="15" t="str">
        <f aca="false">IF($B81="","",Listes!E73)</f>
        <v/>
      </c>
      <c r="E81" s="13" t="str">
        <f aca="false">IF($B81="","",IF(I81="kg","g",IF(I81="L","ml",I81)))</f>
        <v/>
      </c>
      <c r="F81" s="15" t="n">
        <f aca="false">IF($B81="",0,IF(OR(I81="kg",I81="L"),ROUND(D81/1000,3),ROUNDUP(D81,0)))</f>
        <v>0</v>
      </c>
      <c r="G81" s="16"/>
      <c r="H81" s="17" t="n">
        <f aca="false">IF(G81="",F81,G81)</f>
        <v>0</v>
      </c>
      <c r="I81" s="13" t="str">
        <f aca="false">IF($B81="","",IFERROR(INDEX('Liste des ingrédients'!$G$5:$G$98,MATCH($B81,'Liste des ingrédients'!$B$5:$B$98,0)),""))</f>
        <v/>
      </c>
      <c r="J81" s="18" t="n">
        <f aca="false">IF($B81="",0,IFERROR(INDEX('Liste des ingrédients'!$H$5:$H$98,MATCH($B81,'Liste des ingrédients'!$B$5:$B$98,0)),0))</f>
        <v>0</v>
      </c>
      <c r="K81" s="18" t="n">
        <f aca="false">IF($B81="",0,H81*J81)</f>
        <v>0</v>
      </c>
      <c r="L81" s="13"/>
    </row>
    <row r="82" customFormat="false" ht="15" hidden="false" customHeight="false" outlineLevel="0" collapsed="false">
      <c r="A82" s="13" t="str">
        <f aca="false">IF($B82="","",74)</f>
        <v/>
      </c>
      <c r="B82" s="13" t="str">
        <f aca="false">IF(Listes!A74="","",Listes!A74)</f>
        <v/>
      </c>
      <c r="C82" s="14" t="str">
        <f aca="false">IF($B82="","",IFERROR(INDEX('Liste des ingrédients'!$C$5:$C$98,MATCH($B82,'Liste des ingrédients'!$B$5:$B$98,0)),""))</f>
        <v/>
      </c>
      <c r="D82" s="15" t="str">
        <f aca="false">IF($B82="","",Listes!E74)</f>
        <v/>
      </c>
      <c r="E82" s="13" t="str">
        <f aca="false">IF($B82="","",IF(I82="kg","g",IF(I82="L","ml",I82)))</f>
        <v/>
      </c>
      <c r="F82" s="15" t="n">
        <f aca="false">IF($B82="",0,IF(OR(I82="kg",I82="L"),ROUND(D82/1000,3),ROUNDUP(D82,0)))</f>
        <v>0</v>
      </c>
      <c r="G82" s="16"/>
      <c r="H82" s="17" t="n">
        <f aca="false">IF(G82="",F82,G82)</f>
        <v>0</v>
      </c>
      <c r="I82" s="13" t="str">
        <f aca="false">IF($B82="","",IFERROR(INDEX('Liste des ingrédients'!$G$5:$G$98,MATCH($B82,'Liste des ingrédients'!$B$5:$B$98,0)),""))</f>
        <v/>
      </c>
      <c r="J82" s="18" t="n">
        <f aca="false">IF($B82="",0,IFERROR(INDEX('Liste des ingrédients'!$H$5:$H$98,MATCH($B82,'Liste des ingrédients'!$B$5:$B$98,0)),0))</f>
        <v>0</v>
      </c>
      <c r="K82" s="18" t="n">
        <f aca="false">IF($B82="",0,H82*J82)</f>
        <v>0</v>
      </c>
      <c r="L82" s="13"/>
    </row>
    <row r="83" customFormat="false" ht="15" hidden="false" customHeight="false" outlineLevel="0" collapsed="false">
      <c r="A83" s="13" t="str">
        <f aca="false">IF($B83="","",75)</f>
        <v/>
      </c>
      <c r="B83" s="13" t="str">
        <f aca="false">IF(Listes!A75="","",Listes!A75)</f>
        <v/>
      </c>
      <c r="C83" s="14" t="str">
        <f aca="false">IF($B83="","",IFERROR(INDEX('Liste des ingrédients'!$C$5:$C$98,MATCH($B83,'Liste des ingrédients'!$B$5:$B$98,0)),""))</f>
        <v/>
      </c>
      <c r="D83" s="15" t="str">
        <f aca="false">IF($B83="","",Listes!E75)</f>
        <v/>
      </c>
      <c r="E83" s="13" t="str">
        <f aca="false">IF($B83="","",IF(I83="kg","g",IF(I83="L","ml",I83)))</f>
        <v/>
      </c>
      <c r="F83" s="15" t="n">
        <f aca="false">IF($B83="",0,IF(OR(I83="kg",I83="L"),ROUND(D83/1000,3),ROUNDUP(D83,0)))</f>
        <v>0</v>
      </c>
      <c r="G83" s="16"/>
      <c r="H83" s="17" t="n">
        <f aca="false">IF(G83="",F83,G83)</f>
        <v>0</v>
      </c>
      <c r="I83" s="13" t="str">
        <f aca="false">IF($B83="","",IFERROR(INDEX('Liste des ingrédients'!$G$5:$G$98,MATCH($B83,'Liste des ingrédients'!$B$5:$B$98,0)),""))</f>
        <v/>
      </c>
      <c r="J83" s="18" t="n">
        <f aca="false">IF($B83="",0,IFERROR(INDEX('Liste des ingrédients'!$H$5:$H$98,MATCH($B83,'Liste des ingrédients'!$B$5:$B$98,0)),0))</f>
        <v>0</v>
      </c>
      <c r="K83" s="18" t="n">
        <f aca="false">IF($B83="",0,H83*J83)</f>
        <v>0</v>
      </c>
      <c r="L83" s="13"/>
    </row>
    <row r="84" customFormat="false" ht="15" hidden="false" customHeight="false" outlineLevel="0" collapsed="false">
      <c r="A84" s="13" t="str">
        <f aca="false">IF($B84="","",76)</f>
        <v/>
      </c>
      <c r="B84" s="13" t="str">
        <f aca="false">IF(Listes!A76="","",Listes!A76)</f>
        <v/>
      </c>
      <c r="C84" s="14" t="str">
        <f aca="false">IF($B84="","",IFERROR(INDEX('Liste des ingrédients'!$C$5:$C$98,MATCH($B84,'Liste des ingrédients'!$B$5:$B$98,0)),""))</f>
        <v/>
      </c>
      <c r="D84" s="15" t="str">
        <f aca="false">IF($B84="","",Listes!E76)</f>
        <v/>
      </c>
      <c r="E84" s="13" t="str">
        <f aca="false">IF($B84="","",IF(I84="kg","g",IF(I84="L","ml",I84)))</f>
        <v/>
      </c>
      <c r="F84" s="15" t="n">
        <f aca="false">IF($B84="",0,IF(OR(I84="kg",I84="L"),ROUND(D84/1000,3),ROUNDUP(D84,0)))</f>
        <v>0</v>
      </c>
      <c r="G84" s="16"/>
      <c r="H84" s="17" t="n">
        <f aca="false">IF(G84="",F84,G84)</f>
        <v>0</v>
      </c>
      <c r="I84" s="13" t="str">
        <f aca="false">IF($B84="","",IFERROR(INDEX('Liste des ingrédients'!$G$5:$G$98,MATCH($B84,'Liste des ingrédients'!$B$5:$B$98,0)),""))</f>
        <v/>
      </c>
      <c r="J84" s="18" t="n">
        <f aca="false">IF($B84="",0,IFERROR(INDEX('Liste des ingrédients'!$H$5:$H$98,MATCH($B84,'Liste des ingrédients'!$B$5:$B$98,0)),0))</f>
        <v>0</v>
      </c>
      <c r="K84" s="18" t="n">
        <f aca="false">IF($B84="",0,H84*J84)</f>
        <v>0</v>
      </c>
      <c r="L84" s="13"/>
    </row>
    <row r="85" customFormat="false" ht="15" hidden="false" customHeight="false" outlineLevel="0" collapsed="false">
      <c r="A85" s="13" t="str">
        <f aca="false">IF($B85="","",77)</f>
        <v/>
      </c>
      <c r="B85" s="13" t="str">
        <f aca="false">IF(Listes!A77="","",Listes!A77)</f>
        <v/>
      </c>
      <c r="C85" s="14" t="str">
        <f aca="false">IF($B85="","",IFERROR(INDEX('Liste des ingrédients'!$C$5:$C$98,MATCH($B85,'Liste des ingrédients'!$B$5:$B$98,0)),""))</f>
        <v/>
      </c>
      <c r="D85" s="15" t="str">
        <f aca="false">IF($B85="","",Listes!E77)</f>
        <v/>
      </c>
      <c r="E85" s="13" t="str">
        <f aca="false">IF($B85="","",IF(I85="kg","g",IF(I85="L","ml",I85)))</f>
        <v/>
      </c>
      <c r="F85" s="15" t="n">
        <f aca="false">IF($B85="",0,IF(OR(I85="kg",I85="L"),ROUND(D85/1000,3),ROUNDUP(D85,0)))</f>
        <v>0</v>
      </c>
      <c r="G85" s="16"/>
      <c r="H85" s="17" t="n">
        <f aca="false">IF(G85="",F85,G85)</f>
        <v>0</v>
      </c>
      <c r="I85" s="13" t="str">
        <f aca="false">IF($B85="","",IFERROR(INDEX('Liste des ingrédients'!$G$5:$G$98,MATCH($B85,'Liste des ingrédients'!$B$5:$B$98,0)),""))</f>
        <v/>
      </c>
      <c r="J85" s="18" t="n">
        <f aca="false">IF($B85="",0,IFERROR(INDEX('Liste des ingrédients'!$H$5:$H$98,MATCH($B85,'Liste des ingrédients'!$B$5:$B$98,0)),0))</f>
        <v>0</v>
      </c>
      <c r="K85" s="18" t="n">
        <f aca="false">IF($B85="",0,H85*J85)</f>
        <v>0</v>
      </c>
      <c r="L85" s="13"/>
    </row>
    <row r="86" customFormat="false" ht="15" hidden="false" customHeight="false" outlineLevel="0" collapsed="false">
      <c r="A86" s="13" t="str">
        <f aca="false">IF($B86="","",78)</f>
        <v/>
      </c>
      <c r="B86" s="13" t="str">
        <f aca="false">IF(Listes!A78="","",Listes!A78)</f>
        <v/>
      </c>
      <c r="C86" s="14" t="str">
        <f aca="false">IF($B86="","",IFERROR(INDEX('Liste des ingrédients'!$C$5:$C$98,MATCH($B86,'Liste des ingrédients'!$B$5:$B$98,0)),""))</f>
        <v/>
      </c>
      <c r="D86" s="15" t="str">
        <f aca="false">IF($B86="","",Listes!E78)</f>
        <v/>
      </c>
      <c r="E86" s="13" t="str">
        <f aca="false">IF($B86="","",IF(I86="kg","g",IF(I86="L","ml",I86)))</f>
        <v/>
      </c>
      <c r="F86" s="15" t="n">
        <f aca="false">IF($B86="",0,IF(OR(I86="kg",I86="L"),ROUND(D86/1000,3),ROUNDUP(D86,0)))</f>
        <v>0</v>
      </c>
      <c r="G86" s="16"/>
      <c r="H86" s="17" t="n">
        <f aca="false">IF(G86="",F86,G86)</f>
        <v>0</v>
      </c>
      <c r="I86" s="13" t="str">
        <f aca="false">IF($B86="","",IFERROR(INDEX('Liste des ingrédients'!$G$5:$G$98,MATCH($B86,'Liste des ingrédients'!$B$5:$B$98,0)),""))</f>
        <v/>
      </c>
      <c r="J86" s="18" t="n">
        <f aca="false">IF($B86="",0,IFERROR(INDEX('Liste des ingrédients'!$H$5:$H$98,MATCH($B86,'Liste des ingrédients'!$B$5:$B$98,0)),0))</f>
        <v>0</v>
      </c>
      <c r="K86" s="18" t="n">
        <f aca="false">IF($B86="",0,H86*J86)</f>
        <v>0</v>
      </c>
      <c r="L86" s="13"/>
    </row>
    <row r="87" customFormat="false" ht="15" hidden="false" customHeight="false" outlineLevel="0" collapsed="false">
      <c r="A87" s="13" t="str">
        <f aca="false">IF($B87="","",79)</f>
        <v/>
      </c>
      <c r="B87" s="13" t="str">
        <f aca="false">IF(Listes!A79="","",Listes!A79)</f>
        <v/>
      </c>
      <c r="C87" s="14" t="str">
        <f aca="false">IF($B87="","",IFERROR(INDEX('Liste des ingrédients'!$C$5:$C$98,MATCH($B87,'Liste des ingrédients'!$B$5:$B$98,0)),""))</f>
        <v/>
      </c>
      <c r="D87" s="15" t="str">
        <f aca="false">IF($B87="","",Listes!E79)</f>
        <v/>
      </c>
      <c r="E87" s="13" t="str">
        <f aca="false">IF($B87="","",IF(I87="kg","g",IF(I87="L","ml",I87)))</f>
        <v/>
      </c>
      <c r="F87" s="15" t="n">
        <f aca="false">IF($B87="",0,IF(OR(I87="kg",I87="L"),ROUND(D87/1000,3),ROUNDUP(D87,0)))</f>
        <v>0</v>
      </c>
      <c r="G87" s="16"/>
      <c r="H87" s="17" t="n">
        <f aca="false">IF(G87="",F87,G87)</f>
        <v>0</v>
      </c>
      <c r="I87" s="13" t="str">
        <f aca="false">IF($B87="","",IFERROR(INDEX('Liste des ingrédients'!$G$5:$G$98,MATCH($B87,'Liste des ingrédients'!$B$5:$B$98,0)),""))</f>
        <v/>
      </c>
      <c r="J87" s="18" t="n">
        <f aca="false">IF($B87="",0,IFERROR(INDEX('Liste des ingrédients'!$H$5:$H$98,MATCH($B87,'Liste des ingrédients'!$B$5:$B$98,0)),0))</f>
        <v>0</v>
      </c>
      <c r="K87" s="18" t="n">
        <f aca="false">IF($B87="",0,H87*J87)</f>
        <v>0</v>
      </c>
      <c r="L87" s="13"/>
    </row>
    <row r="88" customFormat="false" ht="15" hidden="false" customHeight="false" outlineLevel="0" collapsed="false">
      <c r="A88" s="13" t="str">
        <f aca="false">IF($B88="","",80)</f>
        <v/>
      </c>
      <c r="B88" s="13" t="str">
        <f aca="false">IF(Listes!A80="","",Listes!A80)</f>
        <v/>
      </c>
      <c r="C88" s="14" t="str">
        <f aca="false">IF($B88="","",IFERROR(INDEX('Liste des ingrédients'!$C$5:$C$98,MATCH($B88,'Liste des ingrédients'!$B$5:$B$98,0)),""))</f>
        <v/>
      </c>
      <c r="D88" s="15" t="str">
        <f aca="false">IF($B88="","",Listes!E80)</f>
        <v/>
      </c>
      <c r="E88" s="13" t="str">
        <f aca="false">IF($B88="","",IF(I88="kg","g",IF(I88="L","ml",I88)))</f>
        <v/>
      </c>
      <c r="F88" s="15" t="n">
        <f aca="false">IF($B88="",0,IF(OR(I88="kg",I88="L"),ROUND(D88/1000,3),ROUNDUP(D88,0)))</f>
        <v>0</v>
      </c>
      <c r="G88" s="16"/>
      <c r="H88" s="17" t="n">
        <f aca="false">IF(G88="",F88,G88)</f>
        <v>0</v>
      </c>
      <c r="I88" s="13" t="str">
        <f aca="false">IF($B88="","",IFERROR(INDEX('Liste des ingrédients'!$G$5:$G$98,MATCH($B88,'Liste des ingrédients'!$B$5:$B$98,0)),""))</f>
        <v/>
      </c>
      <c r="J88" s="18" t="n">
        <f aca="false">IF($B88="",0,IFERROR(INDEX('Liste des ingrédients'!$H$5:$H$98,MATCH($B88,'Liste des ingrédients'!$B$5:$B$98,0)),0))</f>
        <v>0</v>
      </c>
      <c r="K88" s="18" t="n">
        <f aca="false">IF($B88="",0,H88*J88)</f>
        <v>0</v>
      </c>
      <c r="L88" s="13"/>
    </row>
    <row r="89" customFormat="false" ht="15" hidden="false" customHeight="false" outlineLevel="0" collapsed="false">
      <c r="A89" s="13" t="str">
        <f aca="false">IF($B89="","",81)</f>
        <v/>
      </c>
      <c r="B89" s="13" t="str">
        <f aca="false">IF(Listes!A81="","",Listes!A81)</f>
        <v/>
      </c>
      <c r="C89" s="14" t="str">
        <f aca="false">IF($B89="","",IFERROR(INDEX('Liste des ingrédients'!$C$5:$C$98,MATCH($B89,'Liste des ingrédients'!$B$5:$B$98,0)),""))</f>
        <v/>
      </c>
      <c r="D89" s="15" t="str">
        <f aca="false">IF($B89="","",Listes!E81)</f>
        <v/>
      </c>
      <c r="E89" s="13" t="str">
        <f aca="false">IF($B89="","",IF(I89="kg","g",IF(I89="L","ml",I89)))</f>
        <v/>
      </c>
      <c r="F89" s="15" t="n">
        <f aca="false">IF($B89="",0,IF(OR(I89="kg",I89="L"),ROUND(D89/1000,3),ROUNDUP(D89,0)))</f>
        <v>0</v>
      </c>
      <c r="G89" s="16"/>
      <c r="H89" s="17" t="n">
        <f aca="false">IF(G89="",F89,G89)</f>
        <v>0</v>
      </c>
      <c r="I89" s="13" t="str">
        <f aca="false">IF($B89="","",IFERROR(INDEX('Liste des ingrédients'!$G$5:$G$98,MATCH($B89,'Liste des ingrédients'!$B$5:$B$98,0)),""))</f>
        <v/>
      </c>
      <c r="J89" s="18" t="n">
        <f aca="false">IF($B89="",0,IFERROR(INDEX('Liste des ingrédients'!$H$5:$H$98,MATCH($B89,'Liste des ingrédients'!$B$5:$B$98,0)),0))</f>
        <v>0</v>
      </c>
      <c r="K89" s="18" t="n">
        <f aca="false">IF($B89="",0,H89*J89)</f>
        <v>0</v>
      </c>
      <c r="L89" s="13"/>
    </row>
    <row r="90" customFormat="false" ht="15" hidden="false" customHeight="false" outlineLevel="0" collapsed="false">
      <c r="A90" s="13" t="str">
        <f aca="false">IF($B90="","",82)</f>
        <v/>
      </c>
      <c r="B90" s="13" t="str">
        <f aca="false">IF(Listes!A82="","",Listes!A82)</f>
        <v/>
      </c>
      <c r="C90" s="14" t="str">
        <f aca="false">IF($B90="","",IFERROR(INDEX('Liste des ingrédients'!$C$5:$C$98,MATCH($B90,'Liste des ingrédients'!$B$5:$B$98,0)),""))</f>
        <v/>
      </c>
      <c r="D90" s="15" t="str">
        <f aca="false">IF($B90="","",Listes!E82)</f>
        <v/>
      </c>
      <c r="E90" s="13" t="str">
        <f aca="false">IF($B90="","",IF(I90="kg","g",IF(I90="L","ml",I90)))</f>
        <v/>
      </c>
      <c r="F90" s="15" t="n">
        <f aca="false">IF($B90="",0,IF(OR(I90="kg",I90="L"),ROUND(D90/1000,3),ROUNDUP(D90,0)))</f>
        <v>0</v>
      </c>
      <c r="G90" s="16"/>
      <c r="H90" s="17" t="n">
        <f aca="false">IF(G90="",F90,G90)</f>
        <v>0</v>
      </c>
      <c r="I90" s="13" t="str">
        <f aca="false">IF($B90="","",IFERROR(INDEX('Liste des ingrédients'!$G$5:$G$98,MATCH($B90,'Liste des ingrédients'!$B$5:$B$98,0)),""))</f>
        <v/>
      </c>
      <c r="J90" s="18" t="n">
        <f aca="false">IF($B90="",0,IFERROR(INDEX('Liste des ingrédients'!$H$5:$H$98,MATCH($B90,'Liste des ingrédients'!$B$5:$B$98,0)),0))</f>
        <v>0</v>
      </c>
      <c r="K90" s="18" t="n">
        <f aca="false">IF($B90="",0,H90*J90)</f>
        <v>0</v>
      </c>
      <c r="L90" s="13"/>
    </row>
  </sheetData>
  <autoFilter ref="A8:L90"/>
  <mergeCells count="3">
    <mergeCell ref="A2:W2"/>
    <mergeCell ref="A7:L7"/>
    <mergeCell ref="N7:W7"/>
  </mergeCells>
  <conditionalFormatting sqref="A9:L90">
    <cfRule type="expression" priority="2" aboveAverage="0" equalAverage="0" bottom="0" percent="0" rank="0" text="" dxfId="7">
      <formula>$H9=0</formula>
    </cfRule>
  </conditionalFormatting>
  <conditionalFormatting sqref="N9:W34">
    <cfRule type="expression" priority="3" aboveAverage="0" equalAverage="0" bottom="0" percent="0" rank="0" text="" dxfId="7">
      <formula>$T9=0</formula>
    </cfRule>
  </conditionalFormatting>
  <conditionalFormatting sqref="G9:G90">
    <cfRule type="expression" priority="4" aboveAverage="0" equalAverage="0" bottom="0" percent="0" rank="0" text="" dxfId="8">
      <formula>AND($G9&lt;&gt;"",$G9&lt;&gt;$F9)</formula>
    </cfRule>
  </conditionalFormatting>
  <conditionalFormatting sqref="S9:S34">
    <cfRule type="expression" priority="5" aboveAverage="0" equalAverage="0" bottom="0" percent="0" rank="0" text="" dxfId="8">
      <formula>AND($S9&lt;&gt;"",$S9&lt;&gt;$R9)</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46"/>
    <col collapsed="false" customWidth="true" hidden="false" outlineLevel="0" max="4" min="4" style="0" width="11"/>
    <col collapsed="false" customWidth="true" hidden="false" outlineLevel="0" max="5" min="5" style="0" width="14"/>
    <col collapsed="false" customWidth="true" hidden="false" outlineLevel="0" max="6" min="6" style="0" width="16"/>
    <col collapsed="false" customWidth="true" hidden="false" outlineLevel="0" max="7" min="7" style="0" width="18"/>
    <col collapsed="false" customWidth="true" hidden="false" outlineLevel="0" max="8" min="8" style="0" width="16"/>
    <col collapsed="false" customWidth="true" hidden="true" outlineLevel="0" max="9" min="9" style="0" width="13"/>
  </cols>
  <sheetData>
    <row r="1" customFormat="false" ht="17.35" hidden="false" customHeight="false" outlineLevel="0" collapsed="false">
      <c r="A1" s="1" t="s">
        <v>24</v>
      </c>
    </row>
    <row r="2" customFormat="false" ht="15" hidden="false" customHeight="false" outlineLevel="0" collapsed="false">
      <c r="A2" s="5" t="s">
        <v>25</v>
      </c>
    </row>
    <row r="4" customFormat="false" ht="26.85" hidden="false" customHeight="false" outlineLevel="0" collapsed="false">
      <c r="A4" s="21" t="s">
        <v>26</v>
      </c>
      <c r="B4" s="21" t="s">
        <v>27</v>
      </c>
      <c r="C4" s="21" t="s">
        <v>28</v>
      </c>
      <c r="D4" s="21" t="s">
        <v>29</v>
      </c>
      <c r="E4" s="21" t="s">
        <v>30</v>
      </c>
      <c r="F4" s="21" t="s">
        <v>31</v>
      </c>
      <c r="G4" s="21" t="s">
        <v>32</v>
      </c>
      <c r="H4" s="21" t="s">
        <v>33</v>
      </c>
    </row>
    <row r="5" customFormat="false" ht="15" hidden="false" customHeight="false" outlineLevel="0" collapsed="false">
      <c r="A5" s="22" t="s">
        <v>34</v>
      </c>
      <c r="B5" s="22" t="s">
        <v>35</v>
      </c>
      <c r="C5" s="22" t="s">
        <v>36</v>
      </c>
      <c r="D5" s="23" t="s">
        <v>37</v>
      </c>
      <c r="E5" s="22" t="n">
        <f aca="false">IF(C5="","",COUNTIF('Ingrédients par plat'!$A$5:$A$596,$I5))</f>
        <v>17</v>
      </c>
      <c r="F5" s="24" t="n">
        <f aca="false">SUMIF('Ingrédients par plat'!$A$5:$A$596,$I5,'Ingrédients par plat'!$G$5:$G$596)</f>
        <v>29.5996</v>
      </c>
      <c r="G5" s="24" t="n">
        <f aca="false">F5/4</f>
        <v>7.3999</v>
      </c>
      <c r="H5" s="24" t="n">
        <f aca="false">IF(AND(D5="Oui",C5&lt;&gt;""),F5,0)</f>
        <v>29.5996</v>
      </c>
      <c r="I5" s="0" t="str">
        <f aca="false">IF(C5="","",A5&amp;" "&amp;B5&amp;" – "&amp;C5)</f>
        <v>Jour 1 Déjeuner – Couscous au poisson</v>
      </c>
    </row>
    <row r="6" customFormat="false" ht="15" hidden="false" customHeight="false" outlineLevel="0" collapsed="false">
      <c r="A6" s="22" t="s">
        <v>34</v>
      </c>
      <c r="B6" s="22" t="s">
        <v>38</v>
      </c>
      <c r="C6" s="22" t="s">
        <v>39</v>
      </c>
      <c r="D6" s="23" t="s">
        <v>37</v>
      </c>
      <c r="E6" s="22" t="n">
        <f aca="false">IF(C6="","",COUNTIF('Ingrédients par plat'!$A$5:$A$596,$I6))</f>
        <v>13</v>
      </c>
      <c r="F6" s="24" t="n">
        <f aca="false">SUMIF('Ingrédients par plat'!$A$5:$A$596,$I6,'Ingrédients par plat'!$G$5:$G$596)</f>
        <v>10.6806</v>
      </c>
      <c r="G6" s="24" t="n">
        <f aca="false">F6/4</f>
        <v>2.67015</v>
      </c>
      <c r="H6" s="24" t="n">
        <f aca="false">IF(AND(D6="Oui",C6&lt;&gt;""),F6,0)</f>
        <v>10.6806</v>
      </c>
      <c r="I6" s="0" t="str">
        <f aca="false">IF(C6="","",A6&amp;" "&amp;B6&amp;" – "&amp;C6)</f>
        <v>Jour 1 Dîner – Salade méchouia + thon, œufs + pain maison</v>
      </c>
    </row>
    <row r="7" customFormat="false" ht="15" hidden="false" customHeight="false" outlineLevel="0" collapsed="false">
      <c r="A7" s="25" t="s">
        <v>40</v>
      </c>
      <c r="B7" s="25" t="s">
        <v>35</v>
      </c>
      <c r="C7" s="25" t="s">
        <v>41</v>
      </c>
      <c r="D7" s="26" t="s">
        <v>37</v>
      </c>
      <c r="E7" s="25" t="n">
        <f aca="false">IF(C7="","",COUNTIF('Ingrédients par plat'!$A$5:$A$596,$I7))</f>
        <v>12</v>
      </c>
      <c r="F7" s="27" t="n">
        <f aca="false">SUMIF('Ingrédients par plat'!$A$5:$A$596,$I7,'Ingrédients par plat'!$G$5:$G$596)</f>
        <v>19.6193</v>
      </c>
      <c r="G7" s="27" t="n">
        <f aca="false">F7/4</f>
        <v>4.904825</v>
      </c>
      <c r="H7" s="27" t="n">
        <f aca="false">IF(AND(D7="Oui",C7&lt;&gt;""),F7,0)</f>
        <v>19.6193</v>
      </c>
      <c r="I7" s="0" t="str">
        <f aca="false">IF(C7="","",A7&amp;" "&amp;B7&amp;" – "&amp;C7)</f>
        <v>Jour 2 Déjeuner – Tajine tunisien au poulet</v>
      </c>
    </row>
    <row r="8" customFormat="false" ht="15" hidden="false" customHeight="false" outlineLevel="0" collapsed="false">
      <c r="A8" s="25" t="s">
        <v>40</v>
      </c>
      <c r="B8" s="25" t="s">
        <v>38</v>
      </c>
      <c r="C8" s="25" t="s">
        <v>42</v>
      </c>
      <c r="D8" s="26" t="s">
        <v>37</v>
      </c>
      <c r="E8" s="25" t="n">
        <f aca="false">IF(C8="","",COUNTIF('Ingrédients par plat'!$A$5:$A$596,$I8))</f>
        <v>17</v>
      </c>
      <c r="F8" s="27" t="n">
        <f aca="false">SUMIF('Ingrédients par plat'!$A$5:$A$596,$I8,'Ingrédients par plat'!$G$5:$G$596)</f>
        <v>28.6197</v>
      </c>
      <c r="G8" s="27" t="n">
        <f aca="false">F8/4</f>
        <v>7.154925</v>
      </c>
      <c r="H8" s="27" t="n">
        <f aca="false">IF(AND(D8="Oui",C8&lt;&gt;""),F8,0)</f>
        <v>28.6197</v>
      </c>
      <c r="I8" s="0" t="str">
        <f aca="false">IF(C8="","",A8&amp;" "&amp;B8&amp;" – "&amp;C8)</f>
        <v>Jour 2 Dîner – Chorba frik</v>
      </c>
    </row>
    <row r="9" customFormat="false" ht="15" hidden="false" customHeight="false" outlineLevel="0" collapsed="false">
      <c r="A9" s="22" t="s">
        <v>43</v>
      </c>
      <c r="B9" s="22" t="s">
        <v>35</v>
      </c>
      <c r="C9" s="22" t="s">
        <v>44</v>
      </c>
      <c r="D9" s="23" t="s">
        <v>37</v>
      </c>
      <c r="E9" s="22" t="n">
        <f aca="false">IF(C9="","",COUNTIF('Ingrédients par plat'!$A$5:$A$596,$I9))</f>
        <v>9</v>
      </c>
      <c r="F9" s="24" t="n">
        <f aca="false">SUMIF('Ingrédients par plat'!$A$5:$A$596,$I9,'Ingrédients par plat'!$G$5:$G$596)</f>
        <v>18.3797</v>
      </c>
      <c r="G9" s="24" t="n">
        <f aca="false">F9/4</f>
        <v>4.594925</v>
      </c>
      <c r="H9" s="24" t="n">
        <f aca="false">IF(AND(D9="Oui",C9&lt;&gt;""),F9,0)</f>
        <v>18.3797</v>
      </c>
      <c r="I9" s="0" t="str">
        <f aca="false">IF(C9="","",A9&amp;" "&amp;B9&amp;" – "&amp;C9)</f>
        <v>Jour 3 Déjeuner – Marqa jelbana bel djedj</v>
      </c>
    </row>
    <row r="10" customFormat="false" ht="15" hidden="false" customHeight="false" outlineLevel="0" collapsed="false">
      <c r="A10" s="22" t="s">
        <v>43</v>
      </c>
      <c r="B10" s="22" t="s">
        <v>38</v>
      </c>
      <c r="C10" s="22" t="s">
        <v>45</v>
      </c>
      <c r="D10" s="23" t="s">
        <v>37</v>
      </c>
      <c r="E10" s="22" t="n">
        <f aca="false">IF(C10="","",COUNTIF('Ingrédients par plat'!$A$5:$A$596,$I10))</f>
        <v>13</v>
      </c>
      <c r="F10" s="24" t="n">
        <f aca="false">SUMIF('Ingrédients par plat'!$A$5:$A$596,$I10,'Ingrédients par plat'!$G$5:$G$596)</f>
        <v>25.2068</v>
      </c>
      <c r="G10" s="24" t="n">
        <f aca="false">F10/4</f>
        <v>6.3017</v>
      </c>
      <c r="H10" s="24" t="n">
        <f aca="false">IF(AND(D10="Oui",C10&lt;&gt;""),F10,0)</f>
        <v>25.2068</v>
      </c>
      <c r="I10" s="0" t="str">
        <f aca="false">IF(C10="","",A10&amp;" "&amp;B10&amp;" – "&amp;C10)</f>
        <v>Jour 3 Dîner – Ojja merguez + pain</v>
      </c>
    </row>
    <row r="11" customFormat="false" ht="15" hidden="false" customHeight="false" outlineLevel="0" collapsed="false">
      <c r="A11" s="25" t="s">
        <v>46</v>
      </c>
      <c r="B11" s="25" t="s">
        <v>35</v>
      </c>
      <c r="C11" s="25" t="s">
        <v>47</v>
      </c>
      <c r="D11" s="26" t="s">
        <v>37</v>
      </c>
      <c r="E11" s="25" t="n">
        <f aca="false">IF(C11="","",COUNTIF('Ingrédients par plat'!$A$5:$A$596,$I11))</f>
        <v>12</v>
      </c>
      <c r="F11" s="27" t="n">
        <f aca="false">SUMIF('Ingrédients par plat'!$A$5:$A$596,$I11,'Ingrédients par plat'!$G$5:$G$596)</f>
        <v>11.3297</v>
      </c>
      <c r="G11" s="27" t="n">
        <f aca="false">F11/4</f>
        <v>2.832425</v>
      </c>
      <c r="H11" s="27" t="n">
        <f aca="false">IF(AND(D11="Oui",C11&lt;&gt;""),F11,0)</f>
        <v>11.3297</v>
      </c>
      <c r="I11" s="0" t="str">
        <f aca="false">IF(C11="","",A11&amp;" "&amp;B11&amp;" – "&amp;C11)</f>
        <v>Jour 4 Déjeuner – Spaghetti tunisien</v>
      </c>
    </row>
    <row r="12" customFormat="false" ht="15" hidden="false" customHeight="false" outlineLevel="0" collapsed="false">
      <c r="A12" s="25" t="s">
        <v>46</v>
      </c>
      <c r="B12" s="25" t="s">
        <v>38</v>
      </c>
      <c r="C12" s="25" t="s">
        <v>48</v>
      </c>
      <c r="D12" s="26" t="s">
        <v>37</v>
      </c>
      <c r="E12" s="25" t="n">
        <f aca="false">IF(C12="","",COUNTIF('Ingrédients par plat'!$A$5:$A$596,$I12))</f>
        <v>14</v>
      </c>
      <c r="F12" s="27" t="n">
        <f aca="false">SUMIF('Ingrédients par plat'!$A$5:$A$596,$I12,'Ingrédients par plat'!$G$5:$G$596)</f>
        <v>19.4393</v>
      </c>
      <c r="G12" s="27" t="n">
        <f aca="false">F12/4</f>
        <v>4.859825</v>
      </c>
      <c r="H12" s="27" t="n">
        <f aca="false">IF(AND(D12="Oui",C12&lt;&gt;""),F12,0)</f>
        <v>19.4393</v>
      </c>
      <c r="I12" s="0" t="str">
        <f aca="false">IF(C12="","",A12&amp;" "&amp;B12&amp;" – "&amp;C12)</f>
        <v>Jour 4 Dîner – Bricks au thon + salade verte</v>
      </c>
    </row>
    <row r="13" customFormat="false" ht="15" hidden="false" customHeight="false" outlineLevel="0" collapsed="false">
      <c r="A13" s="22" t="s">
        <v>49</v>
      </c>
      <c r="B13" s="22" t="s">
        <v>35</v>
      </c>
      <c r="C13" s="22" t="s">
        <v>50</v>
      </c>
      <c r="D13" s="23" t="s">
        <v>37</v>
      </c>
      <c r="E13" s="22" t="n">
        <f aca="false">IF(C13="","",COUNTIF('Ingrédients par plat'!$A$5:$A$596,$I13))</f>
        <v>10</v>
      </c>
      <c r="F13" s="24" t="n">
        <f aca="false">SUMIF('Ingrédients par plat'!$A$5:$A$596,$I13,'Ingrédients par plat'!$G$5:$G$596)</f>
        <v>45.9431</v>
      </c>
      <c r="G13" s="24" t="n">
        <f aca="false">F13/4</f>
        <v>11.485775</v>
      </c>
      <c r="H13" s="24" t="n">
        <f aca="false">IF(AND(D13="Oui",C13&lt;&gt;""),F13,0)</f>
        <v>45.9431</v>
      </c>
      <c r="I13" s="0" t="str">
        <f aca="false">IF(C13="","",A13&amp;" "&amp;B13&amp;" – "&amp;C13)</f>
        <v>Jour 5 Déjeuner – Mloukhia</v>
      </c>
    </row>
    <row r="14" customFormat="false" ht="15" hidden="false" customHeight="false" outlineLevel="0" collapsed="false">
      <c r="A14" s="22" t="s">
        <v>49</v>
      </c>
      <c r="B14" s="22" t="s">
        <v>38</v>
      </c>
      <c r="C14" s="22" t="s">
        <v>51</v>
      </c>
      <c r="D14" s="23" t="s">
        <v>37</v>
      </c>
      <c r="E14" s="22" t="n">
        <f aca="false">IF(C14="","",COUNTIF('Ingrédients par plat'!$A$5:$A$596,$I14))</f>
        <v>17</v>
      </c>
      <c r="F14" s="24" t="n">
        <f aca="false">SUMIF('Ingrédients par plat'!$A$5:$A$596,$I14,'Ingrédients par plat'!$G$5:$G$596)</f>
        <v>17.122</v>
      </c>
      <c r="G14" s="24" t="n">
        <f aca="false">F14/4</f>
        <v>4.2805</v>
      </c>
      <c r="H14" s="24" t="n">
        <f aca="false">IF(AND(D14="Oui",C14&lt;&gt;""),F14,0)</f>
        <v>17.122</v>
      </c>
      <c r="I14" s="0" t="str">
        <f aca="false">IF(C14="","",A14&amp;" "&amp;B14&amp;" – "&amp;C14)</f>
        <v>Jour 5 Dîner – Chorba langues d'oiseaux + salade tunisienne</v>
      </c>
    </row>
    <row r="15" customFormat="false" ht="15" hidden="false" customHeight="false" outlineLevel="0" collapsed="false">
      <c r="A15" s="25" t="s">
        <v>52</v>
      </c>
      <c r="B15" s="25" t="s">
        <v>35</v>
      </c>
      <c r="C15" s="25" t="s">
        <v>53</v>
      </c>
      <c r="D15" s="26" t="s">
        <v>37</v>
      </c>
      <c r="E15" s="25" t="n">
        <f aca="false">IF(C15="","",COUNTIF('Ingrédients par plat'!$A$5:$A$596,$I15))</f>
        <v>13</v>
      </c>
      <c r="F15" s="27" t="n">
        <f aca="false">SUMIF('Ingrédients par plat'!$A$5:$A$596,$I15,'Ingrédients par plat'!$G$5:$G$596)</f>
        <v>18.9202</v>
      </c>
      <c r="G15" s="27" t="n">
        <f aca="false">F15/4</f>
        <v>4.73005</v>
      </c>
      <c r="H15" s="27" t="n">
        <f aca="false">IF(AND(D15="Oui",C15&lt;&gt;""),F15,0)</f>
        <v>18.9202</v>
      </c>
      <c r="I15" s="0" t="str">
        <f aca="false">IF(C15="","",A15&amp;" "&amp;B15&amp;" – "&amp;C15)</f>
        <v>Jour 6 Déjeuner – Marqa loubya bel djedj</v>
      </c>
    </row>
    <row r="16" customFormat="false" ht="15" hidden="false" customHeight="false" outlineLevel="0" collapsed="false">
      <c r="A16" s="25" t="s">
        <v>52</v>
      </c>
      <c r="B16" s="25" t="s">
        <v>38</v>
      </c>
      <c r="C16" s="25" t="s">
        <v>54</v>
      </c>
      <c r="D16" s="26" t="s">
        <v>37</v>
      </c>
      <c r="E16" s="25" t="n">
        <f aca="false">IF(C16="","",COUNTIF('Ingrédients par plat'!$A$5:$A$596,$I16))</f>
        <v>13</v>
      </c>
      <c r="F16" s="27" t="n">
        <f aca="false">SUMIF('Ingrédients par plat'!$A$5:$A$596,$I16,'Ingrédients par plat'!$G$5:$G$596)</f>
        <v>8.8573</v>
      </c>
      <c r="G16" s="27" t="n">
        <f aca="false">F16/4</f>
        <v>2.214325</v>
      </c>
      <c r="H16" s="27" t="n">
        <f aca="false">IF(AND(D16="Oui",C16&lt;&gt;""),F16,0)</f>
        <v>8.8573</v>
      </c>
      <c r="I16" s="0" t="str">
        <f aca="false">IF(C16="","",A16&amp;" "&amp;B16&amp;" – "&amp;C16)</f>
        <v>Jour 6 Dîner – Kefteji</v>
      </c>
    </row>
    <row r="17" customFormat="false" ht="15" hidden="false" customHeight="false" outlineLevel="0" collapsed="false">
      <c r="A17" s="22" t="s">
        <v>55</v>
      </c>
      <c r="B17" s="22" t="s">
        <v>35</v>
      </c>
      <c r="C17" s="22" t="s">
        <v>56</v>
      </c>
      <c r="D17" s="23" t="s">
        <v>37</v>
      </c>
      <c r="E17" s="22" t="n">
        <f aca="false">IF(C17="","",COUNTIF('Ingrédients par plat'!$A$5:$A$596,$I17))</f>
        <v>16</v>
      </c>
      <c r="F17" s="24" t="n">
        <f aca="false">SUMIF('Ingrédients par plat'!$A$5:$A$596,$I17,'Ingrédients par plat'!$G$5:$G$596)</f>
        <v>18.9177</v>
      </c>
      <c r="G17" s="24" t="n">
        <f aca="false">F17/4</f>
        <v>4.729425</v>
      </c>
      <c r="H17" s="24" t="n">
        <f aca="false">IF(AND(D17="Oui",C17&lt;&gt;""),F17,0)</f>
        <v>18.9177</v>
      </c>
      <c r="I17" s="0" t="str">
        <f aca="false">IF(C17="","",A17&amp;" "&amp;B17&amp;" – "&amp;C17)</f>
        <v>Jour 7 Déjeuner – M'hamsa</v>
      </c>
    </row>
    <row r="18" customFormat="false" ht="15" hidden="false" customHeight="false" outlineLevel="0" collapsed="false">
      <c r="A18" s="22" t="s">
        <v>55</v>
      </c>
      <c r="B18" s="22" t="s">
        <v>38</v>
      </c>
      <c r="C18" s="22" t="s">
        <v>57</v>
      </c>
      <c r="D18" s="23" t="s">
        <v>37</v>
      </c>
      <c r="E18" s="22" t="n">
        <f aca="false">IF(C18="","",COUNTIF('Ingrédients par plat'!$A$5:$A$596,$I18))</f>
        <v>13</v>
      </c>
      <c r="F18" s="24" t="n">
        <f aca="false">SUMIF('Ingrédients par plat'!$A$5:$A$596,$I18,'Ingrédients par plat'!$G$5:$G$596)</f>
        <v>23.849</v>
      </c>
      <c r="G18" s="24" t="n">
        <f aca="false">F18/4</f>
        <v>5.96225</v>
      </c>
      <c r="H18" s="24" t="n">
        <f aca="false">IF(AND(D18="Oui",C18&lt;&gt;""),F18,0)</f>
        <v>23.849</v>
      </c>
      <c r="I18" s="0" t="str">
        <f aca="false">IF(C18="","",A18&amp;" "&amp;B18&amp;" – "&amp;C18)</f>
        <v>Jour 7 Dîner – Salade + escalope + frites</v>
      </c>
    </row>
    <row r="19" customFormat="false" ht="15" hidden="false" customHeight="false" outlineLevel="0" collapsed="false">
      <c r="A19" s="25" t="s">
        <v>58</v>
      </c>
      <c r="B19" s="25" t="s">
        <v>35</v>
      </c>
      <c r="C19" s="25" t="s">
        <v>59</v>
      </c>
      <c r="D19" s="26" t="s">
        <v>37</v>
      </c>
      <c r="E19" s="25" t="n">
        <f aca="false">IF(C19="","",COUNTIF('Ingrédients par plat'!$A$5:$A$596,$I19))</f>
        <v>20</v>
      </c>
      <c r="F19" s="27" t="n">
        <f aca="false">SUMIF('Ingrédients par plat'!$A$5:$A$596,$I19,'Ingrédients par plat'!$G$5:$G$596)</f>
        <v>20.6337</v>
      </c>
      <c r="G19" s="27" t="n">
        <f aca="false">F19/4</f>
        <v>5.158425</v>
      </c>
      <c r="H19" s="27" t="n">
        <f aca="false">IF(AND(D19="Oui",C19&lt;&gt;""),F19,0)</f>
        <v>20.6337</v>
      </c>
      <c r="I19" s="0" t="str">
        <f aca="false">IF(C19="","",A19&amp;" "&amp;B19&amp;" – "&amp;C19)</f>
        <v>Jour 8 Déjeuner – Riz djerbien</v>
      </c>
    </row>
    <row r="20" customFormat="false" ht="15" hidden="false" customHeight="false" outlineLevel="0" collapsed="false">
      <c r="A20" s="25" t="s">
        <v>58</v>
      </c>
      <c r="B20" s="25" t="s">
        <v>38</v>
      </c>
      <c r="C20" s="25" t="s">
        <v>60</v>
      </c>
      <c r="D20" s="26" t="s">
        <v>37</v>
      </c>
      <c r="E20" s="25" t="n">
        <f aca="false">IF(C20="","",COUNTIF('Ingrédients par plat'!$A$5:$A$596,$I20))</f>
        <v>10</v>
      </c>
      <c r="F20" s="27" t="n">
        <f aca="false">SUMIF('Ingrédients par plat'!$A$5:$A$596,$I20,'Ingrédients par plat'!$G$5:$G$596)</f>
        <v>9.5473</v>
      </c>
      <c r="G20" s="27" t="n">
        <f aca="false">F20/4</f>
        <v>2.386825</v>
      </c>
      <c r="H20" s="27" t="n">
        <f aca="false">IF(AND(D20="Oui",C20&lt;&gt;""),F20,0)</f>
        <v>9.5473</v>
      </c>
      <c r="I20" s="0" t="str">
        <f aca="false">IF(C20="","",A20&amp;" "&amp;B20&amp;" – "&amp;C20)</f>
        <v>Jour 8 Dîner – Tajine sabanekh</v>
      </c>
    </row>
    <row r="21" customFormat="false" ht="15" hidden="false" customHeight="false" outlineLevel="0" collapsed="false">
      <c r="A21" s="22" t="s">
        <v>61</v>
      </c>
      <c r="B21" s="22" t="s">
        <v>35</v>
      </c>
      <c r="C21" s="22" t="s">
        <v>62</v>
      </c>
      <c r="D21" s="23" t="s">
        <v>37</v>
      </c>
      <c r="E21" s="22" t="n">
        <f aca="false">IF(C21="","",COUNTIF('Ingrédients par plat'!$A$5:$A$596,$I21))</f>
        <v>14</v>
      </c>
      <c r="F21" s="24" t="n">
        <f aca="false">SUMIF('Ingrédients par plat'!$A$5:$A$596,$I21,'Ingrédients par plat'!$G$5:$G$596)</f>
        <v>28.0432</v>
      </c>
      <c r="G21" s="24" t="n">
        <f aca="false">F21/4</f>
        <v>7.0108</v>
      </c>
      <c r="H21" s="24" t="n">
        <f aca="false">IF(AND(D21="Oui",C21&lt;&gt;""),F21,0)</f>
        <v>28.0432</v>
      </c>
      <c r="I21" s="0" t="str">
        <f aca="false">IF(C21="","",A21&amp;" "&amp;B21&amp;" – "&amp;C21)</f>
        <v>Jour 9 Déjeuner – Markat batata</v>
      </c>
    </row>
    <row r="22" customFormat="false" ht="15" hidden="false" customHeight="false" outlineLevel="0" collapsed="false">
      <c r="A22" s="22" t="s">
        <v>61</v>
      </c>
      <c r="B22" s="22" t="s">
        <v>38</v>
      </c>
      <c r="C22" s="22" t="s">
        <v>63</v>
      </c>
      <c r="D22" s="23" t="s">
        <v>37</v>
      </c>
      <c r="E22" s="22" t="n">
        <f aca="false">IF(C22="","",COUNTIF('Ingrédients par plat'!$A$5:$A$596,$I22))</f>
        <v>11</v>
      </c>
      <c r="F22" s="24" t="n">
        <f aca="false">SUMIF('Ingrédients par plat'!$A$5:$A$596,$I22,'Ingrédients par plat'!$G$5:$G$596)</f>
        <v>15.3442</v>
      </c>
      <c r="G22" s="24" t="n">
        <f aca="false">F22/4</f>
        <v>3.83605</v>
      </c>
      <c r="H22" s="24" t="n">
        <f aca="false">IF(AND(D22="Oui",C22&lt;&gt;""),F22,0)</f>
        <v>15.3442</v>
      </c>
      <c r="I22" s="0" t="str">
        <f aca="false">IF(C22="","",A22&amp;" "&amp;B22&amp;" – "&amp;C22)</f>
        <v>Jour 9 Dîner – Salade + escalope</v>
      </c>
    </row>
    <row r="23" customFormat="false" ht="15" hidden="false" customHeight="false" outlineLevel="0" collapsed="false">
      <c r="A23" s="25" t="s">
        <v>64</v>
      </c>
      <c r="B23" s="25" t="s">
        <v>35</v>
      </c>
      <c r="C23" s="25" t="s">
        <v>47</v>
      </c>
      <c r="D23" s="26" t="s">
        <v>37</v>
      </c>
      <c r="E23" s="25" t="n">
        <f aca="false">IF(C23="","",COUNTIF('Ingrédients par plat'!$A$5:$A$596,$I23))</f>
        <v>12</v>
      </c>
      <c r="F23" s="27" t="n">
        <f aca="false">SUMIF('Ingrédients par plat'!$A$5:$A$596,$I23,'Ingrédients par plat'!$G$5:$G$596)</f>
        <v>11.3297</v>
      </c>
      <c r="G23" s="27" t="n">
        <f aca="false">F23/4</f>
        <v>2.832425</v>
      </c>
      <c r="H23" s="27" t="n">
        <f aca="false">IF(AND(D23="Oui",C23&lt;&gt;""),F23,0)</f>
        <v>11.3297</v>
      </c>
      <c r="I23" s="0" t="str">
        <f aca="false">IF(C23="","",A23&amp;" "&amp;B23&amp;" – "&amp;C23)</f>
        <v>Jour 10 Déjeuner – Spaghetti tunisien</v>
      </c>
    </row>
    <row r="24" customFormat="false" ht="15" hidden="false" customHeight="false" outlineLevel="0" collapsed="false">
      <c r="A24" s="25" t="s">
        <v>64</v>
      </c>
      <c r="B24" s="25" t="s">
        <v>38</v>
      </c>
      <c r="C24" s="25" t="s">
        <v>63</v>
      </c>
      <c r="D24" s="26" t="s">
        <v>37</v>
      </c>
      <c r="E24" s="25" t="n">
        <f aca="false">IF(C24="","",COUNTIF('Ingrédients par plat'!$A$5:$A$596,$I24))</f>
        <v>11</v>
      </c>
      <c r="F24" s="27" t="n">
        <f aca="false">SUMIF('Ingrédients par plat'!$A$5:$A$596,$I24,'Ingrédients par plat'!$G$5:$G$596)</f>
        <v>15.3442</v>
      </c>
      <c r="G24" s="27" t="n">
        <f aca="false">F24/4</f>
        <v>3.83605</v>
      </c>
      <c r="H24" s="27" t="n">
        <f aca="false">IF(AND(D24="Oui",C24&lt;&gt;""),F24,0)</f>
        <v>15.3442</v>
      </c>
      <c r="I24" s="0" t="str">
        <f aca="false">IF(C24="","",A24&amp;" "&amp;B24&amp;" – "&amp;C24)</f>
        <v>Jour 10 Dîner – Salade + escalope</v>
      </c>
    </row>
    <row r="25" customFormat="false" ht="15" hidden="false" customHeight="false" outlineLevel="0" collapsed="false">
      <c r="A25" s="22" t="s">
        <v>65</v>
      </c>
      <c r="B25" s="22" t="s">
        <v>35</v>
      </c>
      <c r="C25" s="22" t="s">
        <v>66</v>
      </c>
      <c r="D25" s="23" t="s">
        <v>37</v>
      </c>
      <c r="E25" s="22" t="n">
        <f aca="false">IF(C25="","",COUNTIF('Ingrédients par plat'!$A$5:$A$596,$I25))</f>
        <v>17</v>
      </c>
      <c r="F25" s="24" t="n">
        <f aca="false">SUMIF('Ingrédients par plat'!$A$5:$A$596,$I25,'Ingrédients par plat'!$G$5:$G$596)</f>
        <v>8.2071</v>
      </c>
      <c r="G25" s="24" t="n">
        <f aca="false">F25/4</f>
        <v>2.051775</v>
      </c>
      <c r="H25" s="24" t="n">
        <f aca="false">IF(AND(D25="Oui",C25&lt;&gt;""),F25,0)</f>
        <v>8.2071</v>
      </c>
      <c r="I25" s="0" t="str">
        <f aca="false">IF(C25="","",A25&amp;" "&amp;B25&amp;" – "&amp;C25)</f>
        <v>Jour 11 Déjeuner – Couscous aux légumes et pois chiches</v>
      </c>
    </row>
    <row r="26" customFormat="false" ht="15" hidden="false" customHeight="false" outlineLevel="0" collapsed="false">
      <c r="A26" s="22" t="s">
        <v>65</v>
      </c>
      <c r="B26" s="22" t="s">
        <v>38</v>
      </c>
      <c r="C26" s="22" t="s">
        <v>67</v>
      </c>
      <c r="D26" s="23" t="s">
        <v>37</v>
      </c>
      <c r="E26" s="22" t="n">
        <f aca="false">IF(C26="","",COUNTIF('Ingrédients par plat'!$A$5:$A$596,$I26))</f>
        <v>16</v>
      </c>
      <c r="F26" s="24" t="n">
        <f aca="false">SUMIF('Ingrédients par plat'!$A$5:$A$596,$I26,'Ingrédients par plat'!$G$5:$G$596)</f>
        <v>11.4597</v>
      </c>
      <c r="G26" s="24" t="n">
        <f aca="false">F26/4</f>
        <v>2.864925</v>
      </c>
      <c r="H26" s="24" t="n">
        <f aca="false">IF(AND(D26="Oui",C26&lt;&gt;""),F26,0)</f>
        <v>11.4597</v>
      </c>
      <c r="I26" s="0" t="str">
        <f aca="false">IF(C26="","",A26&amp;" "&amp;B26&amp;" – "&amp;C26)</f>
        <v>Jour 11 Dîner – Chorba châer</v>
      </c>
    </row>
    <row r="27" customFormat="false" ht="15" hidden="false" customHeight="false" outlineLevel="0" collapsed="false">
      <c r="A27" s="25" t="s">
        <v>68</v>
      </c>
      <c r="B27" s="25" t="s">
        <v>35</v>
      </c>
      <c r="C27" s="25" t="s">
        <v>69</v>
      </c>
      <c r="D27" s="26" t="s">
        <v>37</v>
      </c>
      <c r="E27" s="25" t="n">
        <f aca="false">IF(C27="","",COUNTIF('Ingrédients par plat'!$A$5:$A$596,$I27))</f>
        <v>13</v>
      </c>
      <c r="F27" s="27" t="n">
        <f aca="false">SUMIF('Ingrédients par plat'!$A$5:$A$596,$I27,'Ingrédients par plat'!$G$5:$G$596)</f>
        <v>23.2897</v>
      </c>
      <c r="G27" s="27" t="n">
        <f aca="false">F27/4</f>
        <v>5.822425</v>
      </c>
      <c r="H27" s="27" t="n">
        <f aca="false">IF(AND(D27="Oui",C27&lt;&gt;""),F27,0)</f>
        <v>23.2897</v>
      </c>
      <c r="I27" s="0" t="str">
        <f aca="false">IF(C27="","",A27&amp;" "&amp;B27&amp;" – "&amp;C27)</f>
        <v>Jour 12 Déjeuner – Mosli de poulet</v>
      </c>
    </row>
    <row r="28" customFormat="false" ht="15" hidden="false" customHeight="false" outlineLevel="0" collapsed="false">
      <c r="A28" s="25" t="s">
        <v>68</v>
      </c>
      <c r="B28" s="25" t="s">
        <v>38</v>
      </c>
      <c r="C28" s="25" t="s">
        <v>70</v>
      </c>
      <c r="D28" s="26" t="s">
        <v>37</v>
      </c>
      <c r="E28" s="25" t="n">
        <f aca="false">IF(C28="","",COUNTIF('Ingrédients par plat'!$A$5:$A$596,$I28))</f>
        <v>13</v>
      </c>
      <c r="F28" s="27" t="n">
        <f aca="false">SUMIF('Ingrédients par plat'!$A$5:$A$596,$I28,'Ingrédients par plat'!$G$5:$G$596)</f>
        <v>15.6218</v>
      </c>
      <c r="G28" s="27" t="n">
        <f aca="false">F28/4</f>
        <v>3.90545</v>
      </c>
      <c r="H28" s="27" t="n">
        <f aca="false">IF(AND(D28="Oui",C28&lt;&gt;""),F28,0)</f>
        <v>15.6218</v>
      </c>
      <c r="I28" s="0" t="str">
        <f aca="false">IF(C28="","",A28&amp;" "&amp;B28&amp;" – "&amp;C28)</f>
        <v>Jour 12 Dîner – Salade tunisienne + bricks aux œufs</v>
      </c>
    </row>
    <row r="29" customFormat="false" ht="15" hidden="false" customHeight="false" outlineLevel="0" collapsed="false">
      <c r="A29" s="22" t="s">
        <v>71</v>
      </c>
      <c r="B29" s="22" t="s">
        <v>35</v>
      </c>
      <c r="C29" s="22" t="s">
        <v>72</v>
      </c>
      <c r="D29" s="23" t="s">
        <v>37</v>
      </c>
      <c r="E29" s="22" t="n">
        <f aca="false">IF(C29="","",COUNTIF('Ingrédients par plat'!$A$5:$A$596,$I29))</f>
        <v>16</v>
      </c>
      <c r="F29" s="24" t="n">
        <f aca="false">SUMIF('Ingrédients par plat'!$A$5:$A$596,$I29,'Ingrédients par plat'!$G$5:$G$596)</f>
        <v>16.1182</v>
      </c>
      <c r="G29" s="24" t="n">
        <f aca="false">F29/4</f>
        <v>4.02955</v>
      </c>
      <c r="H29" s="24" t="n">
        <f aca="false">IF(AND(D29="Oui",C29&lt;&gt;""),F29,0)</f>
        <v>16.1182</v>
      </c>
      <c r="I29" s="0" t="str">
        <f aca="false">IF(C29="","",A29&amp;" "&amp;B29&amp;" – "&amp;C29)</f>
        <v>Jour 13 Déjeuner – Boulettes de poisson (hraimeh) + riz</v>
      </c>
    </row>
    <row r="30" customFormat="false" ht="15" hidden="false" customHeight="false" outlineLevel="0" collapsed="false">
      <c r="A30" s="22" t="s">
        <v>71</v>
      </c>
      <c r="B30" s="22" t="s">
        <v>38</v>
      </c>
      <c r="C30" s="22" t="s">
        <v>73</v>
      </c>
      <c r="D30" s="23" t="s">
        <v>37</v>
      </c>
      <c r="E30" s="22" t="n">
        <f aca="false">IF(C30="","",COUNTIF('Ingrédients par plat'!$A$5:$A$596,$I30))</f>
        <v>13</v>
      </c>
      <c r="F30" s="24" t="n">
        <f aca="false">SUMIF('Ingrédients par plat'!$A$5:$A$596,$I30,'Ingrédients par plat'!$G$5:$G$596)</f>
        <v>7.8073</v>
      </c>
      <c r="G30" s="24" t="n">
        <f aca="false">F30/4</f>
        <v>1.951825</v>
      </c>
      <c r="H30" s="24" t="n">
        <f aca="false">IF(AND(D30="Oui",C30&lt;&gt;""),F30,0)</f>
        <v>7.8073</v>
      </c>
      <c r="I30" s="0" t="str">
        <f aca="false">IF(C30="","",A30&amp;" "&amp;B30&amp;" – "&amp;C30)</f>
        <v>Jour 13 Dîner – Ojja aux pommes de terre</v>
      </c>
    </row>
    <row r="31" customFormat="false" ht="15" hidden="false" customHeight="false" outlineLevel="0" collapsed="false">
      <c r="A31" s="25" t="s">
        <v>74</v>
      </c>
      <c r="B31" s="25" t="s">
        <v>35</v>
      </c>
      <c r="C31" s="25" t="s">
        <v>75</v>
      </c>
      <c r="D31" s="26" t="s">
        <v>37</v>
      </c>
      <c r="E31" s="25" t="n">
        <f aca="false">IF(C31="","",COUNTIF('Ingrédients par plat'!$A$5:$A$596,$I31))</f>
        <v>16</v>
      </c>
      <c r="F31" s="27" t="n">
        <f aca="false">SUMIF('Ingrédients par plat'!$A$5:$A$596,$I31,'Ingrédients par plat'!$G$5:$G$596)</f>
        <v>34.0823</v>
      </c>
      <c r="G31" s="27" t="n">
        <f aca="false">F31/4</f>
        <v>8.520575</v>
      </c>
      <c r="H31" s="27" t="n">
        <f aca="false">IF(AND(D31="Oui",C31&lt;&gt;""),F31,0)</f>
        <v>34.0823</v>
      </c>
      <c r="I31" s="0" t="str">
        <f aca="false">IF(C31="","",A31&amp;" "&amp;B31&amp;" – "&amp;C31)</f>
        <v>Jour 14 Déjeuner – Kefteji au four + foie</v>
      </c>
    </row>
    <row r="32" customFormat="false" ht="15" hidden="false" customHeight="false" outlineLevel="0" collapsed="false">
      <c r="A32" s="25" t="s">
        <v>74</v>
      </c>
      <c r="B32" s="25" t="s">
        <v>38</v>
      </c>
      <c r="C32" s="25" t="s">
        <v>67</v>
      </c>
      <c r="D32" s="26" t="s">
        <v>37</v>
      </c>
      <c r="E32" s="25" t="n">
        <f aca="false">IF(C32="","",COUNTIF('Ingrédients par plat'!$A$5:$A$596,$I32))</f>
        <v>16</v>
      </c>
      <c r="F32" s="27" t="n">
        <f aca="false">SUMIF('Ingrédients par plat'!$A$5:$A$596,$I32,'Ingrédients par plat'!$G$5:$G$596)</f>
        <v>11.4597</v>
      </c>
      <c r="G32" s="27" t="n">
        <f aca="false">F32/4</f>
        <v>2.864925</v>
      </c>
      <c r="H32" s="27" t="n">
        <f aca="false">IF(AND(D32="Oui",C32&lt;&gt;""),F32,0)</f>
        <v>11.4597</v>
      </c>
      <c r="I32" s="0" t="str">
        <f aca="false">IF(C32="","",A32&amp;" "&amp;B32&amp;" – "&amp;C32)</f>
        <v>Jour 14 Dîner – Chorba châer</v>
      </c>
    </row>
    <row r="33" customFormat="false" ht="15" hidden="false" customHeight="false" outlineLevel="0" collapsed="false">
      <c r="A33" s="22" t="s">
        <v>76</v>
      </c>
      <c r="B33" s="22" t="s">
        <v>77</v>
      </c>
      <c r="C33" s="22" t="s">
        <v>78</v>
      </c>
      <c r="D33" s="23" t="s">
        <v>37</v>
      </c>
      <c r="E33" s="22" t="n">
        <f aca="false">IF(C33="","",COUNTIF('Ingrédients par plat'!$A$5:$A$596,$I33))</f>
        <v>5</v>
      </c>
      <c r="F33" s="24" t="n">
        <f aca="false">SUMIF('Ingrédients par plat'!$A$5:$A$596,$I33,'Ingrédients par plat'!$G$5:$G$596)</f>
        <v>48.92</v>
      </c>
      <c r="G33" s="24" t="n">
        <f aca="false">F33/4</f>
        <v>12.23</v>
      </c>
      <c r="H33" s="24" t="n">
        <f aca="false">IF(AND(D33="Oui",C33&lt;&gt;""),F33,0)</f>
        <v>48.92</v>
      </c>
      <c r="I33" s="0" t="str">
        <f aca="false">IF(C33="","",A33&amp;" "&amp;B33&amp;" – "&amp;C33)</f>
        <v>Jour 1 à 14 Dessert – Fruits de saison (1 portion par personne et par jour)</v>
      </c>
    </row>
    <row r="34" customFormat="false" ht="15" hidden="false" customHeight="false" outlineLevel="0" collapsed="false">
      <c r="A34" s="28"/>
      <c r="B34" s="28"/>
      <c r="C34" s="28"/>
      <c r="D34" s="23" t="s">
        <v>37</v>
      </c>
      <c r="E34" s="22" t="str">
        <f aca="false">IF(C34="","",COUNTIF('Ingrédients par plat'!$A$5:$A$596,$I34))</f>
        <v/>
      </c>
      <c r="F34" s="24" t="n">
        <f aca="false">SUMIF('Ingrédients par plat'!$A$5:$A$596,$I34,'Ingrédients par plat'!$G$5:$G$596)</f>
        <v>0</v>
      </c>
      <c r="G34" s="24" t="n">
        <f aca="false">F34/4</f>
        <v>0</v>
      </c>
      <c r="H34" s="24" t="n">
        <f aca="false">IF(AND(D34="Oui",C34&lt;&gt;""),F34,0)</f>
        <v>0</v>
      </c>
      <c r="I34" s="0" t="str">
        <f aca="false">IF(C34="","",A34&amp;" "&amp;B34&amp;" – "&amp;C34)</f>
        <v/>
      </c>
    </row>
    <row r="35" customFormat="false" ht="15" hidden="false" customHeight="false" outlineLevel="0" collapsed="false">
      <c r="A35" s="28"/>
      <c r="B35" s="28"/>
      <c r="C35" s="28"/>
      <c r="D35" s="23" t="s">
        <v>37</v>
      </c>
      <c r="E35" s="22" t="str">
        <f aca="false">IF(C35="","",COUNTIF('Ingrédients par plat'!$A$5:$A$596,$I35))</f>
        <v/>
      </c>
      <c r="F35" s="24" t="n">
        <f aca="false">SUMIF('Ingrédients par plat'!$A$5:$A$596,$I35,'Ingrédients par plat'!$G$5:$G$596)</f>
        <v>0</v>
      </c>
      <c r="G35" s="24" t="n">
        <f aca="false">F35/4</f>
        <v>0</v>
      </c>
      <c r="H35" s="24" t="n">
        <f aca="false">IF(AND(D35="Oui",C35&lt;&gt;""),F35,0)</f>
        <v>0</v>
      </c>
      <c r="I35" s="0" t="str">
        <f aca="false">IF(C35="","",A35&amp;" "&amp;B35&amp;" – "&amp;C35)</f>
        <v/>
      </c>
    </row>
    <row r="36" customFormat="false" ht="15" hidden="false" customHeight="false" outlineLevel="0" collapsed="false">
      <c r="A36" s="28"/>
      <c r="B36" s="28"/>
      <c r="C36" s="28"/>
      <c r="D36" s="23" t="s">
        <v>37</v>
      </c>
      <c r="E36" s="22" t="str">
        <f aca="false">IF(C36="","",COUNTIF('Ingrédients par plat'!$A$5:$A$596,$I36))</f>
        <v/>
      </c>
      <c r="F36" s="24" t="n">
        <f aca="false">SUMIF('Ingrédients par plat'!$A$5:$A$596,$I36,'Ingrédients par plat'!$G$5:$G$596)</f>
        <v>0</v>
      </c>
      <c r="G36" s="24" t="n">
        <f aca="false">F36/4</f>
        <v>0</v>
      </c>
      <c r="H36" s="24" t="n">
        <f aca="false">IF(AND(D36="Oui",C36&lt;&gt;""),F36,0)</f>
        <v>0</v>
      </c>
      <c r="I36" s="0" t="str">
        <f aca="false">IF(C36="","",A36&amp;" "&amp;B36&amp;" – "&amp;C36)</f>
        <v/>
      </c>
    </row>
    <row r="37" customFormat="false" ht="15" hidden="false" customHeight="false" outlineLevel="0" collapsed="false">
      <c r="A37" s="28"/>
      <c r="B37" s="28"/>
      <c r="C37" s="28"/>
      <c r="D37" s="23" t="s">
        <v>37</v>
      </c>
      <c r="E37" s="22" t="str">
        <f aca="false">IF(C37="","",COUNTIF('Ingrédients par plat'!$A$5:$A$596,$I37))</f>
        <v/>
      </c>
      <c r="F37" s="24" t="n">
        <f aca="false">SUMIF('Ingrédients par plat'!$A$5:$A$596,$I37,'Ingrédients par plat'!$G$5:$G$596)</f>
        <v>0</v>
      </c>
      <c r="G37" s="24" t="n">
        <f aca="false">F37/4</f>
        <v>0</v>
      </c>
      <c r="H37" s="24" t="n">
        <f aca="false">IF(AND(D37="Oui",C37&lt;&gt;""),F37,0)</f>
        <v>0</v>
      </c>
      <c r="I37" s="0" t="str">
        <f aca="false">IF(C37="","",A37&amp;" "&amp;B37&amp;" – "&amp;C37)</f>
        <v/>
      </c>
    </row>
    <row r="38" customFormat="false" ht="15" hidden="false" customHeight="false" outlineLevel="0" collapsed="false">
      <c r="A38" s="28"/>
      <c r="B38" s="28"/>
      <c r="C38" s="28"/>
      <c r="D38" s="23" t="s">
        <v>37</v>
      </c>
      <c r="E38" s="22" t="str">
        <f aca="false">IF(C38="","",COUNTIF('Ingrédients par plat'!$A$5:$A$596,$I38))</f>
        <v/>
      </c>
      <c r="F38" s="24" t="n">
        <f aca="false">SUMIF('Ingrédients par plat'!$A$5:$A$596,$I38,'Ingrédients par plat'!$G$5:$G$596)</f>
        <v>0</v>
      </c>
      <c r="G38" s="24" t="n">
        <f aca="false">F38/4</f>
        <v>0</v>
      </c>
      <c r="H38" s="24" t="n">
        <f aca="false">IF(AND(D38="Oui",C38&lt;&gt;""),F38,0)</f>
        <v>0</v>
      </c>
      <c r="I38" s="0" t="str">
        <f aca="false">IF(C38="","",A38&amp;" "&amp;B38&amp;" – "&amp;C38)</f>
        <v/>
      </c>
    </row>
    <row r="39" customFormat="false" ht="15" hidden="false" customHeight="false" outlineLevel="0" collapsed="false">
      <c r="A39" s="28"/>
      <c r="B39" s="28"/>
      <c r="C39" s="28"/>
      <c r="D39" s="23" t="s">
        <v>37</v>
      </c>
      <c r="E39" s="22" t="str">
        <f aca="false">IF(C39="","",COUNTIF('Ingrédients par plat'!$A$5:$A$596,$I39))</f>
        <v/>
      </c>
      <c r="F39" s="24" t="n">
        <f aca="false">SUMIF('Ingrédients par plat'!$A$5:$A$596,$I39,'Ingrédients par plat'!$G$5:$G$596)</f>
        <v>0</v>
      </c>
      <c r="G39" s="24" t="n">
        <f aca="false">F39/4</f>
        <v>0</v>
      </c>
      <c r="H39" s="24" t="n">
        <f aca="false">IF(AND(D39="Oui",C39&lt;&gt;""),F39,0)</f>
        <v>0</v>
      </c>
      <c r="I39" s="0" t="str">
        <f aca="false">IF(C39="","",A39&amp;" "&amp;B39&amp;" – "&amp;C39)</f>
        <v/>
      </c>
    </row>
    <row r="40" customFormat="false" ht="15" hidden="false" customHeight="false" outlineLevel="0" collapsed="false">
      <c r="A40" s="28"/>
      <c r="B40" s="28"/>
      <c r="C40" s="28"/>
      <c r="D40" s="23" t="s">
        <v>37</v>
      </c>
      <c r="E40" s="22" t="str">
        <f aca="false">IF(C40="","",COUNTIF('Ingrédients par plat'!$A$5:$A$596,$I40))</f>
        <v/>
      </c>
      <c r="F40" s="24" t="n">
        <f aca="false">SUMIF('Ingrédients par plat'!$A$5:$A$596,$I40,'Ingrédients par plat'!$G$5:$G$596)</f>
        <v>0</v>
      </c>
      <c r="G40" s="24" t="n">
        <f aca="false">F40/4</f>
        <v>0</v>
      </c>
      <c r="H40" s="24" t="n">
        <f aca="false">IF(AND(D40="Oui",C40&lt;&gt;""),F40,0)</f>
        <v>0</v>
      </c>
      <c r="I40" s="0" t="str">
        <f aca="false">IF(C40="","",A40&amp;" "&amp;B40&amp;" – "&amp;C40)</f>
        <v/>
      </c>
    </row>
    <row r="41" customFormat="false" ht="15" hidden="false" customHeight="false" outlineLevel="0" collapsed="false">
      <c r="A41" s="28"/>
      <c r="B41" s="28"/>
      <c r="C41" s="28"/>
      <c r="D41" s="23" t="s">
        <v>37</v>
      </c>
      <c r="E41" s="22" t="str">
        <f aca="false">IF(C41="","",COUNTIF('Ingrédients par plat'!$A$5:$A$596,$I41))</f>
        <v/>
      </c>
      <c r="F41" s="24" t="n">
        <f aca="false">SUMIF('Ingrédients par plat'!$A$5:$A$596,$I41,'Ingrédients par plat'!$G$5:$G$596)</f>
        <v>0</v>
      </c>
      <c r="G41" s="24" t="n">
        <f aca="false">F41/4</f>
        <v>0</v>
      </c>
      <c r="H41" s="24" t="n">
        <f aca="false">IF(AND(D41="Oui",C41&lt;&gt;""),F41,0)</f>
        <v>0</v>
      </c>
      <c r="I41" s="0" t="str">
        <f aca="false">IF(C41="","",A41&amp;" "&amp;B41&amp;" – "&amp;C41)</f>
        <v/>
      </c>
    </row>
    <row r="42" customFormat="false" ht="15" hidden="false" customHeight="false" outlineLevel="0" collapsed="false">
      <c r="A42" s="28"/>
      <c r="B42" s="28"/>
      <c r="C42" s="28"/>
      <c r="D42" s="23" t="s">
        <v>37</v>
      </c>
      <c r="E42" s="22" t="str">
        <f aca="false">IF(C42="","",COUNTIF('Ingrédients par plat'!$A$5:$A$596,$I42))</f>
        <v/>
      </c>
      <c r="F42" s="24" t="n">
        <f aca="false">SUMIF('Ingrédients par plat'!$A$5:$A$596,$I42,'Ingrédients par plat'!$G$5:$G$596)</f>
        <v>0</v>
      </c>
      <c r="G42" s="24" t="n">
        <f aca="false">F42/4</f>
        <v>0</v>
      </c>
      <c r="H42" s="24" t="n">
        <f aca="false">IF(AND(D42="Oui",C42&lt;&gt;""),F42,0)</f>
        <v>0</v>
      </c>
      <c r="I42" s="0" t="str">
        <f aca="false">IF(C42="","",A42&amp;" "&amp;B42&amp;" – "&amp;C42)</f>
        <v/>
      </c>
    </row>
    <row r="43" customFormat="false" ht="15" hidden="false" customHeight="false" outlineLevel="0" collapsed="false">
      <c r="A43" s="28"/>
      <c r="B43" s="28"/>
      <c r="C43" s="28"/>
      <c r="D43" s="23" t="s">
        <v>37</v>
      </c>
      <c r="E43" s="22" t="str">
        <f aca="false">IF(C43="","",COUNTIF('Ingrédients par plat'!$A$5:$A$596,$I43))</f>
        <v/>
      </c>
      <c r="F43" s="24" t="n">
        <f aca="false">SUMIF('Ingrédients par plat'!$A$5:$A$596,$I43,'Ingrédients par plat'!$G$5:$G$596)</f>
        <v>0</v>
      </c>
      <c r="G43" s="24" t="n">
        <f aca="false">F43/4</f>
        <v>0</v>
      </c>
      <c r="H43" s="24" t="n">
        <f aca="false">IF(AND(D43="Oui",C43&lt;&gt;""),F43,0)</f>
        <v>0</v>
      </c>
      <c r="I43" s="0" t="str">
        <f aca="false">IF(C43="","",A43&amp;" "&amp;B43&amp;" – "&amp;C43)</f>
        <v/>
      </c>
    </row>
    <row r="44" customFormat="false" ht="15" hidden="false" customHeight="false" outlineLevel="0" collapsed="false">
      <c r="A44" s="28"/>
      <c r="B44" s="28"/>
      <c r="C44" s="28"/>
      <c r="D44" s="23" t="s">
        <v>37</v>
      </c>
      <c r="E44" s="22" t="str">
        <f aca="false">IF(C44="","",COUNTIF('Ingrédients par plat'!$A$5:$A$596,$I44))</f>
        <v/>
      </c>
      <c r="F44" s="24" t="n">
        <f aca="false">SUMIF('Ingrédients par plat'!$A$5:$A$596,$I44,'Ingrédients par plat'!$G$5:$G$596)</f>
        <v>0</v>
      </c>
      <c r="G44" s="24" t="n">
        <f aca="false">F44/4</f>
        <v>0</v>
      </c>
      <c r="H44" s="24" t="n">
        <f aca="false">IF(AND(D44="Oui",C44&lt;&gt;""),F44,0)</f>
        <v>0</v>
      </c>
      <c r="I44" s="0" t="str">
        <f aca="false">IF(C44="","",A44&amp;" "&amp;B44&amp;" – "&amp;C44)</f>
        <v/>
      </c>
    </row>
    <row r="45" customFormat="false" ht="15" hidden="false" customHeight="false" outlineLevel="0" collapsed="false">
      <c r="A45" s="28"/>
      <c r="B45" s="28"/>
      <c r="C45" s="28"/>
      <c r="D45" s="23" t="s">
        <v>37</v>
      </c>
      <c r="E45" s="22" t="str">
        <f aca="false">IF(C45="","",COUNTIF('Ingrédients par plat'!$A$5:$A$596,$I45))</f>
        <v/>
      </c>
      <c r="F45" s="24" t="n">
        <f aca="false">SUMIF('Ingrédients par plat'!$A$5:$A$596,$I45,'Ingrédients par plat'!$G$5:$G$596)</f>
        <v>0</v>
      </c>
      <c r="G45" s="24" t="n">
        <f aca="false">F45/4</f>
        <v>0</v>
      </c>
      <c r="H45" s="24" t="n">
        <f aca="false">IF(AND(D45="Oui",C45&lt;&gt;""),F45,0)</f>
        <v>0</v>
      </c>
      <c r="I45" s="0" t="str">
        <f aca="false">IF(C45="","",A45&amp;" "&amp;B45&amp;" – "&amp;C45)</f>
        <v/>
      </c>
    </row>
    <row r="46" customFormat="false" ht="15" hidden="false" customHeight="false" outlineLevel="0" collapsed="false">
      <c r="A46" s="28"/>
      <c r="B46" s="28"/>
      <c r="C46" s="28"/>
      <c r="D46" s="23" t="s">
        <v>37</v>
      </c>
      <c r="E46" s="22" t="str">
        <f aca="false">IF(C46="","",COUNTIF('Ingrédients par plat'!$A$5:$A$596,$I46))</f>
        <v/>
      </c>
      <c r="F46" s="24" t="n">
        <f aca="false">SUMIF('Ingrédients par plat'!$A$5:$A$596,$I46,'Ingrédients par plat'!$G$5:$G$596)</f>
        <v>0</v>
      </c>
      <c r="G46" s="24" t="n">
        <f aca="false">F46/4</f>
        <v>0</v>
      </c>
      <c r="H46" s="24" t="n">
        <f aca="false">IF(AND(D46="Oui",C46&lt;&gt;""),F46,0)</f>
        <v>0</v>
      </c>
      <c r="I46" s="0" t="str">
        <f aca="false">IF(C46="","",A46&amp;" "&amp;B46&amp;" – "&amp;C46)</f>
        <v/>
      </c>
    </row>
    <row r="47" customFormat="false" ht="15" hidden="false" customHeight="false" outlineLevel="0" collapsed="false">
      <c r="A47" s="28"/>
      <c r="B47" s="28"/>
      <c r="C47" s="28"/>
      <c r="D47" s="23" t="s">
        <v>37</v>
      </c>
      <c r="E47" s="22" t="str">
        <f aca="false">IF(C47="","",COUNTIF('Ingrédients par plat'!$A$5:$A$596,$I47))</f>
        <v/>
      </c>
      <c r="F47" s="24" t="n">
        <f aca="false">SUMIF('Ingrédients par plat'!$A$5:$A$596,$I47,'Ingrédients par plat'!$G$5:$G$596)</f>
        <v>0</v>
      </c>
      <c r="G47" s="24" t="n">
        <f aca="false">F47/4</f>
        <v>0</v>
      </c>
      <c r="H47" s="24" t="n">
        <f aca="false">IF(AND(D47="Oui",C47&lt;&gt;""),F47,0)</f>
        <v>0</v>
      </c>
      <c r="I47" s="0" t="str">
        <f aca="false">IF(C47="","",A47&amp;" "&amp;B47&amp;" – "&amp;C47)</f>
        <v/>
      </c>
    </row>
    <row r="48" customFormat="false" ht="15" hidden="false" customHeight="false" outlineLevel="0" collapsed="false">
      <c r="A48" s="28"/>
      <c r="B48" s="28"/>
      <c r="C48" s="28"/>
      <c r="D48" s="23" t="s">
        <v>37</v>
      </c>
      <c r="E48" s="22" t="str">
        <f aca="false">IF(C48="","",COUNTIF('Ingrédients par plat'!$A$5:$A$596,$I48))</f>
        <v/>
      </c>
      <c r="F48" s="24" t="n">
        <f aca="false">SUMIF('Ingrédients par plat'!$A$5:$A$596,$I48,'Ingrédients par plat'!$G$5:$G$596)</f>
        <v>0</v>
      </c>
      <c r="G48" s="24" t="n">
        <f aca="false">F48/4</f>
        <v>0</v>
      </c>
      <c r="H48" s="24" t="n">
        <f aca="false">IF(AND(D48="Oui",C48&lt;&gt;""),F48,0)</f>
        <v>0</v>
      </c>
      <c r="I48" s="0" t="str">
        <f aca="false">IF(C48="","",A48&amp;" "&amp;B48&amp;" – "&amp;C48)</f>
        <v/>
      </c>
    </row>
    <row r="49" customFormat="false" ht="15" hidden="false" customHeight="false" outlineLevel="0" collapsed="false">
      <c r="A49" s="29"/>
      <c r="B49" s="29"/>
      <c r="C49" s="7" t="s">
        <v>79</v>
      </c>
      <c r="D49" s="30" t="str">
        <f aca="false">COUNTIFS(D5:D48,"Oui",C5:C48,"&lt;&gt;")&amp;" plats"</f>
        <v>29 plats</v>
      </c>
      <c r="E49" s="29"/>
      <c r="F49" s="29"/>
      <c r="G49" s="29"/>
      <c r="H49" s="31" t="n">
        <f aca="false">SUM(H5:H48)</f>
        <v>573.6921</v>
      </c>
    </row>
    <row r="50" customFormat="false" ht="15" hidden="false" customHeight="false" outlineLevel="0" collapsed="false">
      <c r="C50" s="32" t="s">
        <v>80</v>
      </c>
      <c r="H50" s="33" t="n">
        <f aca="false">H49/(4*14)</f>
        <v>10.2445017857143</v>
      </c>
    </row>
    <row r="52" customFormat="false" ht="15" hidden="false" customHeight="false" outlineLevel="0" collapsed="false">
      <c r="A52" s="5" t="s">
        <v>81</v>
      </c>
    </row>
  </sheetData>
  <dataValidations count="1">
    <dataValidation allowBlank="false" errorStyle="stop" operator="between" showDropDown="false" showErrorMessage="false" showInputMessage="false" sqref="D5:D48" type="list">
      <formula1>Listes!$C$1:$C$2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40"/>
    <col collapsed="false" customWidth="true" hidden="false" outlineLevel="0" max="3" min="3" style="0" width="10"/>
    <col collapsed="false" customWidth="true" hidden="false" outlineLevel="0" max="4" min="4" style="0" width="9"/>
    <col collapsed="false" customWidth="true" hidden="false" outlineLevel="0" max="5" min="5" style="0" width="16"/>
    <col collapsed="false" customWidth="true" hidden="false" outlineLevel="0" max="6" min="6" style="0" width="10"/>
    <col collapsed="false" customWidth="true" hidden="false" outlineLevel="0" max="7" min="7" style="0" width="12"/>
    <col collapsed="false" customWidth="true" hidden="true" outlineLevel="0" max="8" min="8" style="0" width="10"/>
    <col collapsed="false" customWidth="true" hidden="true" outlineLevel="0" max="9" min="9" style="0" width="13"/>
  </cols>
  <sheetData>
    <row r="1" customFormat="false" ht="17.35" hidden="false" customHeight="false" outlineLevel="0" collapsed="false">
      <c r="A1" s="1" t="s">
        <v>82</v>
      </c>
    </row>
    <row r="2" customFormat="false" ht="15" hidden="false" customHeight="false" outlineLevel="0" collapsed="false">
      <c r="A2" s="5" t="s">
        <v>83</v>
      </c>
    </row>
    <row r="4" customFormat="false" ht="26.85" hidden="false" customHeight="false" outlineLevel="0" collapsed="false">
      <c r="A4" s="21" t="s">
        <v>28</v>
      </c>
      <c r="B4" s="21" t="s">
        <v>10</v>
      </c>
      <c r="C4" s="21" t="s">
        <v>84</v>
      </c>
      <c r="D4" s="21" t="s">
        <v>13</v>
      </c>
      <c r="E4" s="21" t="s">
        <v>18</v>
      </c>
      <c r="F4" s="21" t="s">
        <v>85</v>
      </c>
      <c r="G4" s="21" t="s">
        <v>19</v>
      </c>
      <c r="H4" s="21" t="s">
        <v>86</v>
      </c>
    </row>
    <row r="5" customFormat="false" ht="15" hidden="false" customHeight="false" outlineLevel="0" collapsed="false">
      <c r="A5" s="25" t="s">
        <v>87</v>
      </c>
      <c r="B5" s="25" t="s">
        <v>88</v>
      </c>
      <c r="C5" s="34" t="n">
        <v>500</v>
      </c>
      <c r="D5" s="25" t="str">
        <f aca="false">IF($B5="","",IF(F5="kg","g",IF(F5="L","ml",F5)))</f>
        <v>g</v>
      </c>
      <c r="E5" s="27" t="n">
        <f aca="false">IF($B5="","",IFERROR(INDEX('Liste des ingrédients'!$H$5:$H$98,MATCH($B5,'Liste des ingrédients'!$B$5:$B$98,0)),0))</f>
        <v>3</v>
      </c>
      <c r="F5" s="25" t="str">
        <f aca="false">IF($B5="","",IFERROR(INDEX('Liste des ingrédients'!$G$5:$G$98,MATCH($B5,'Liste des ingrédients'!$B$5:$B$98,0)),"?"))</f>
        <v>kg</v>
      </c>
      <c r="G5" s="27" t="n">
        <f aca="false">IF(OR($B5="",$C5=""),0,IFERROR($C5*E5/IF(OR(F5="kg",F5="L"),1000,1),0))</f>
        <v>1.5</v>
      </c>
      <c r="H5" s="25" t="n">
        <f aca="false">IF(AND($A5&lt;&gt;"",$A5='Fiche plat'!$C$3),COUNTIF($A$5:$A5,'Fiche plat'!$C$3),"")</f>
        <v>1</v>
      </c>
      <c r="I5" s="0" t="str">
        <f aca="false">IF($A5="","",IFERROR(INDEX(Plats!$D$5:$D$48,MATCH($A5,Plats!$I$5:$I$48,0)),""))</f>
        <v>Oui</v>
      </c>
    </row>
    <row r="6" customFormat="false" ht="15" hidden="false" customHeight="false" outlineLevel="0" collapsed="false">
      <c r="A6" s="25" t="s">
        <v>87</v>
      </c>
      <c r="B6" s="25" t="s">
        <v>89</v>
      </c>
      <c r="C6" s="34" t="n">
        <v>1000</v>
      </c>
      <c r="D6" s="25" t="str">
        <f aca="false">IF($B6="","",IF(F6="kg","g",IF(F6="L","ml",F6)))</f>
        <v>g</v>
      </c>
      <c r="E6" s="27" t="n">
        <f aca="false">IF($B6="","",IFERROR(INDEX('Liste des ingrédients'!$H$5:$H$98,MATCH($B6,'Liste des ingrédients'!$B$5:$B$98,0)),0))</f>
        <v>22</v>
      </c>
      <c r="F6" s="25" t="str">
        <f aca="false">IF($B6="","",IFERROR(INDEX('Liste des ingrédients'!$G$5:$G$98,MATCH($B6,'Liste des ingrédients'!$B$5:$B$98,0)),"?"))</f>
        <v>kg</v>
      </c>
      <c r="G6" s="27" t="n">
        <f aca="false">IF(OR($B6="",$C6=""),0,IFERROR($C6*E6/IF(OR(F6="kg",F6="L"),1000,1),0))</f>
        <v>22</v>
      </c>
      <c r="H6" s="25" t="n">
        <f aca="false">IF(AND($A6&lt;&gt;"",$A6='Fiche plat'!$C$3),COUNTIF($A$5:$A6,'Fiche plat'!$C$3),"")</f>
        <v>2</v>
      </c>
      <c r="I6" s="0" t="str">
        <f aca="false">IF($A6="","",IFERROR(INDEX(Plats!$D$5:$D$48,MATCH($A6,Plats!$I$5:$I$48,0)),""))</f>
        <v>Oui</v>
      </c>
    </row>
    <row r="7" customFormat="false" ht="15" hidden="false" customHeight="false" outlineLevel="0" collapsed="false">
      <c r="A7" s="25" t="s">
        <v>87</v>
      </c>
      <c r="B7" s="25" t="s">
        <v>90</v>
      </c>
      <c r="C7" s="34" t="n">
        <v>300</v>
      </c>
      <c r="D7" s="25" t="str">
        <f aca="false">IF($B7="","",IF(F7="kg","g",IF(F7="L","ml",F7)))</f>
        <v>g</v>
      </c>
      <c r="E7" s="27" t="n">
        <f aca="false">IF($B7="","",IFERROR(INDEX('Liste des ingrédients'!$H$5:$H$98,MATCH($B7,'Liste des ingrédients'!$B$5:$B$98,0)),0))</f>
        <v>2.5</v>
      </c>
      <c r="F7" s="25" t="str">
        <f aca="false">IF($B7="","",IFERROR(INDEX('Liste des ingrédients'!$G$5:$G$98,MATCH($B7,'Liste des ingrédients'!$B$5:$B$98,0)),"?"))</f>
        <v>kg</v>
      </c>
      <c r="G7" s="27" t="n">
        <f aca="false">IF(OR($B7="",$C7=""),0,IFERROR($C7*E7/IF(OR(F7="kg",F7="L"),1000,1),0))</f>
        <v>0.75</v>
      </c>
      <c r="H7" s="25" t="n">
        <f aca="false">IF(AND($A7&lt;&gt;"",$A7='Fiche plat'!$C$3),COUNTIF($A$5:$A7,'Fiche plat'!$C$3),"")</f>
        <v>3</v>
      </c>
      <c r="I7" s="0" t="str">
        <f aca="false">IF($A7="","",IFERROR(INDEX(Plats!$D$5:$D$48,MATCH($A7,Plats!$I$5:$I$48,0)),""))</f>
        <v>Oui</v>
      </c>
    </row>
    <row r="8" customFormat="false" ht="15" hidden="false" customHeight="false" outlineLevel="0" collapsed="false">
      <c r="A8" s="25" t="s">
        <v>87</v>
      </c>
      <c r="B8" s="25" t="s">
        <v>91</v>
      </c>
      <c r="C8" s="34" t="n">
        <v>300</v>
      </c>
      <c r="D8" s="25" t="str">
        <f aca="false">IF($B8="","",IF(F8="kg","g",IF(F8="L","ml",F8)))</f>
        <v>g</v>
      </c>
      <c r="E8" s="27" t="n">
        <f aca="false">IF($B8="","",IFERROR(INDEX('Liste des ingrédients'!$H$5:$H$98,MATCH($B8,'Liste des ingrédients'!$B$5:$B$98,0)),0))</f>
        <v>2</v>
      </c>
      <c r="F8" s="25" t="str">
        <f aca="false">IF($B8="","",IFERROR(INDEX('Liste des ingrédients'!$G$5:$G$98,MATCH($B8,'Liste des ingrédients'!$B$5:$B$98,0)),"?"))</f>
        <v>kg</v>
      </c>
      <c r="G8" s="27" t="n">
        <f aca="false">IF(OR($B8="",$C8=""),0,IFERROR($C8*E8/IF(OR(F8="kg",F8="L"),1000,1),0))</f>
        <v>0.6</v>
      </c>
      <c r="H8" s="25" t="n">
        <f aca="false">IF(AND($A8&lt;&gt;"",$A8='Fiche plat'!$C$3),COUNTIF($A$5:$A8,'Fiche plat'!$C$3),"")</f>
        <v>4</v>
      </c>
      <c r="I8" s="0" t="str">
        <f aca="false">IF($A8="","",IFERROR(INDEX(Plats!$D$5:$D$48,MATCH($A8,Plats!$I$5:$I$48,0)),""))</f>
        <v>Oui</v>
      </c>
    </row>
    <row r="9" customFormat="false" ht="15" hidden="false" customHeight="false" outlineLevel="0" collapsed="false">
      <c r="A9" s="25" t="s">
        <v>87</v>
      </c>
      <c r="B9" s="25" t="s">
        <v>92</v>
      </c>
      <c r="C9" s="34" t="n">
        <v>400</v>
      </c>
      <c r="D9" s="25" t="str">
        <f aca="false">IF($B9="","",IF(F9="kg","g",IF(F9="L","ml",F9)))</f>
        <v>g</v>
      </c>
      <c r="E9" s="27" t="n">
        <f aca="false">IF($B9="","",IFERROR(INDEX('Liste des ingrédients'!$H$5:$H$98,MATCH($B9,'Liste des ingrédients'!$B$5:$B$98,0)),0))</f>
        <v>2.5</v>
      </c>
      <c r="F9" s="25" t="str">
        <f aca="false">IF($B9="","",IFERROR(INDEX('Liste des ingrédients'!$G$5:$G$98,MATCH($B9,'Liste des ingrédients'!$B$5:$B$98,0)),"?"))</f>
        <v>kg</v>
      </c>
      <c r="G9" s="27" t="n">
        <f aca="false">IF(OR($B9="",$C9=""),0,IFERROR($C9*E9/IF(OR(F9="kg",F9="L"),1000,1),0))</f>
        <v>1</v>
      </c>
      <c r="H9" s="25" t="n">
        <f aca="false">IF(AND($A9&lt;&gt;"",$A9='Fiche plat'!$C$3),COUNTIF($A$5:$A9,'Fiche plat'!$C$3),"")</f>
        <v>5</v>
      </c>
      <c r="I9" s="0" t="str">
        <f aca="false">IF($A9="","",IFERROR(INDEX(Plats!$D$5:$D$48,MATCH($A9,Plats!$I$5:$I$48,0)),""))</f>
        <v>Oui</v>
      </c>
    </row>
    <row r="10" customFormat="false" ht="15" hidden="false" customHeight="false" outlineLevel="0" collapsed="false">
      <c r="A10" s="25" t="s">
        <v>87</v>
      </c>
      <c r="B10" s="25" t="s">
        <v>93</v>
      </c>
      <c r="C10" s="34" t="n">
        <v>100</v>
      </c>
      <c r="D10" s="25" t="str">
        <f aca="false">IF($B10="","",IF(F10="kg","g",IF(F10="L","ml",F10)))</f>
        <v>g</v>
      </c>
      <c r="E10" s="27" t="n">
        <f aca="false">IF($B10="","",IFERROR(INDEX('Liste des ingrédients'!$H$5:$H$98,MATCH($B10,'Liste des ingrédients'!$B$5:$B$98,0)),0))</f>
        <v>1.2</v>
      </c>
      <c r="F10" s="25" t="str">
        <f aca="false">IF($B10="","",IFERROR(INDEX('Liste des ingrédients'!$G$5:$G$98,MATCH($B10,'Liste des ingrédients'!$B$5:$B$98,0)),"?"))</f>
        <v>kg</v>
      </c>
      <c r="G10" s="27" t="n">
        <f aca="false">IF(OR($B10="",$C10=""),0,IFERROR($C10*E10/IF(OR(F10="kg",F10="L"),1000,1),0))</f>
        <v>0.12</v>
      </c>
      <c r="H10" s="25" t="n">
        <f aca="false">IF(AND($A10&lt;&gt;"",$A10='Fiche plat'!$C$3),COUNTIF($A$5:$A10,'Fiche plat'!$C$3),"")</f>
        <v>6</v>
      </c>
      <c r="I10" s="0" t="str">
        <f aca="false">IF($A10="","",IFERROR(INDEX(Plats!$D$5:$D$48,MATCH($A10,Plats!$I$5:$I$48,0)),""))</f>
        <v>Oui</v>
      </c>
    </row>
    <row r="11" customFormat="false" ht="15" hidden="false" customHeight="false" outlineLevel="0" collapsed="false">
      <c r="A11" s="25" t="s">
        <v>87</v>
      </c>
      <c r="B11" s="25" t="s">
        <v>94</v>
      </c>
      <c r="C11" s="34" t="n">
        <v>60</v>
      </c>
      <c r="D11" s="25" t="str">
        <f aca="false">IF($B11="","",IF(F11="kg","g",IF(F11="L","ml",F11)))</f>
        <v>g</v>
      </c>
      <c r="E11" s="27" t="n">
        <f aca="false">IF($B11="","",IFERROR(INDEX('Liste des ingrédients'!$H$5:$H$98,MATCH($B11,'Liste des ingrédients'!$B$5:$B$98,0)),0))</f>
        <v>2.5</v>
      </c>
      <c r="F11" s="25" t="str">
        <f aca="false">IF($B11="","",IFERROR(INDEX('Liste des ingrédients'!$G$5:$G$98,MATCH($B11,'Liste des ingrédients'!$B$5:$B$98,0)),"?"))</f>
        <v>kg</v>
      </c>
      <c r="G11" s="27" t="n">
        <f aca="false">IF(OR($B11="",$C11=""),0,IFERROR($C11*E11/IF(OR(F11="kg",F11="L"),1000,1),0))</f>
        <v>0.15</v>
      </c>
      <c r="H11" s="25" t="n">
        <f aca="false">IF(AND($A11&lt;&gt;"",$A11='Fiche plat'!$C$3),COUNTIF($A$5:$A11,'Fiche plat'!$C$3),"")</f>
        <v>7</v>
      </c>
      <c r="I11" s="0" t="str">
        <f aca="false">IF($A11="","",IFERROR(INDEX(Plats!$D$5:$D$48,MATCH($A11,Plats!$I$5:$I$48,0)),""))</f>
        <v>Oui</v>
      </c>
    </row>
    <row r="12" customFormat="false" ht="15" hidden="false" customHeight="false" outlineLevel="0" collapsed="false">
      <c r="A12" s="25" t="s">
        <v>87</v>
      </c>
      <c r="B12" s="25" t="s">
        <v>95</v>
      </c>
      <c r="C12" s="34" t="n">
        <v>40</v>
      </c>
      <c r="D12" s="25" t="str">
        <f aca="false">IF($B12="","",IF(F12="kg","g",IF(F12="L","ml",F12)))</f>
        <v>g</v>
      </c>
      <c r="E12" s="27" t="n">
        <f aca="false">IF($B12="","",IFERROR(INDEX('Liste des ingrédients'!$H$5:$H$98,MATCH($B12,'Liste des ingrédients'!$B$5:$B$98,0)),0))</f>
        <v>9</v>
      </c>
      <c r="F12" s="25" t="str">
        <f aca="false">IF($B12="","",IFERROR(INDEX('Liste des ingrédients'!$G$5:$G$98,MATCH($B12,'Liste des ingrédients'!$B$5:$B$98,0)),"?"))</f>
        <v>kg</v>
      </c>
      <c r="G12" s="27" t="n">
        <f aca="false">IF(OR($B12="",$C12=""),0,IFERROR($C12*E12/IF(OR(F12="kg",F12="L"),1000,1),0))</f>
        <v>0.36</v>
      </c>
      <c r="H12" s="25" t="n">
        <f aca="false">IF(AND($A12&lt;&gt;"",$A12='Fiche plat'!$C$3),COUNTIF($A$5:$A12,'Fiche plat'!$C$3),"")</f>
        <v>8</v>
      </c>
      <c r="I12" s="0" t="str">
        <f aca="false">IF($A12="","",IFERROR(INDEX(Plats!$D$5:$D$48,MATCH($A12,Plats!$I$5:$I$48,0)),""))</f>
        <v>Oui</v>
      </c>
    </row>
    <row r="13" customFormat="false" ht="15" hidden="false" customHeight="false" outlineLevel="0" collapsed="false">
      <c r="A13" s="25" t="s">
        <v>87</v>
      </c>
      <c r="B13" s="25" t="s">
        <v>96</v>
      </c>
      <c r="C13" s="34" t="n">
        <v>15</v>
      </c>
      <c r="D13" s="25" t="str">
        <f aca="false">IF($B13="","",IF(F13="kg","g",IF(F13="L","ml",F13)))</f>
        <v>g</v>
      </c>
      <c r="E13" s="27" t="n">
        <f aca="false">IF($B13="","",IFERROR(INDEX('Liste des ingrédients'!$H$5:$H$98,MATCH($B13,'Liste des ingrédients'!$B$5:$B$98,0)),0))</f>
        <v>11</v>
      </c>
      <c r="F13" s="25" t="str">
        <f aca="false">IF($B13="","",IFERROR(INDEX('Liste des ingrédients'!$G$5:$G$98,MATCH($B13,'Liste des ingrédients'!$B$5:$B$98,0)),"?"))</f>
        <v>kg</v>
      </c>
      <c r="G13" s="27" t="n">
        <f aca="false">IF(OR($B13="",$C13=""),0,IFERROR($C13*E13/IF(OR(F13="kg",F13="L"),1000,1),0))</f>
        <v>0.165</v>
      </c>
      <c r="H13" s="25" t="n">
        <f aca="false">IF(AND($A13&lt;&gt;"",$A13='Fiche plat'!$C$3),COUNTIF($A$5:$A13,'Fiche plat'!$C$3),"")</f>
        <v>9</v>
      </c>
      <c r="I13" s="0" t="str">
        <f aca="false">IF($A13="","",IFERROR(INDEX(Plats!$D$5:$D$48,MATCH($A13,Plats!$I$5:$I$48,0)),""))</f>
        <v>Oui</v>
      </c>
    </row>
    <row r="14" customFormat="false" ht="15" hidden="false" customHeight="false" outlineLevel="0" collapsed="false">
      <c r="A14" s="25" t="s">
        <v>87</v>
      </c>
      <c r="B14" s="25" t="s">
        <v>97</v>
      </c>
      <c r="C14" s="34" t="n">
        <v>20</v>
      </c>
      <c r="D14" s="25" t="str">
        <f aca="false">IF($B14="","",IF(F14="kg","g",IF(F14="L","ml",F14)))</f>
        <v>g</v>
      </c>
      <c r="E14" s="27" t="n">
        <f aca="false">IF($B14="","",IFERROR(INDEX('Liste des ingrédients'!$H$5:$H$98,MATCH($B14,'Liste des ingrédients'!$B$5:$B$98,0)),0))</f>
        <v>15</v>
      </c>
      <c r="F14" s="25" t="str">
        <f aca="false">IF($B14="","",IFERROR(INDEX('Liste des ingrédients'!$G$5:$G$98,MATCH($B14,'Liste des ingrédients'!$B$5:$B$98,0)),"?"))</f>
        <v>kg</v>
      </c>
      <c r="G14" s="27" t="n">
        <f aca="false">IF(OR($B14="",$C14=""),0,IFERROR($C14*E14/IF(OR(F14="kg",F14="L"),1000,1),0))</f>
        <v>0.3</v>
      </c>
      <c r="H14" s="25" t="n">
        <f aca="false">IF(AND($A14&lt;&gt;"",$A14='Fiche plat'!$C$3),COUNTIF($A$5:$A14,'Fiche plat'!$C$3),"")</f>
        <v>10</v>
      </c>
      <c r="I14" s="0" t="str">
        <f aca="false">IF($A14="","",IFERROR(INDEX(Plats!$D$5:$D$48,MATCH($A14,Plats!$I$5:$I$48,0)),""))</f>
        <v>Oui</v>
      </c>
    </row>
    <row r="15" customFormat="false" ht="15" hidden="false" customHeight="false" outlineLevel="0" collapsed="false">
      <c r="A15" s="25" t="s">
        <v>87</v>
      </c>
      <c r="B15" s="25" t="s">
        <v>98</v>
      </c>
      <c r="C15" s="34" t="n">
        <v>3</v>
      </c>
      <c r="D15" s="25" t="str">
        <f aca="false">IF($B15="","",IF(F15="kg","g",IF(F15="L","ml",F15)))</f>
        <v>g</v>
      </c>
      <c r="E15" s="27" t="n">
        <f aca="false">IF($B15="","",IFERROR(INDEX('Liste des ingrédients'!$H$5:$H$98,MATCH($B15,'Liste des ingrédients'!$B$5:$B$98,0)),0))</f>
        <v>40</v>
      </c>
      <c r="F15" s="25" t="str">
        <f aca="false">IF($B15="","",IFERROR(INDEX('Liste des ingrédients'!$G$5:$G$98,MATCH($B15,'Liste des ingrédients'!$B$5:$B$98,0)),"?"))</f>
        <v>kg</v>
      </c>
      <c r="G15" s="27" t="n">
        <f aca="false">IF(OR($B15="",$C15=""),0,IFERROR($C15*E15/IF(OR(F15="kg",F15="L"),1000,1),0))</f>
        <v>0.12</v>
      </c>
      <c r="H15" s="25" t="n">
        <f aca="false">IF(AND($A15&lt;&gt;"",$A15='Fiche plat'!$C$3),COUNTIF($A$5:$A15,'Fiche plat'!$C$3),"")</f>
        <v>11</v>
      </c>
      <c r="I15" s="0" t="str">
        <f aca="false">IF($A15="","",IFERROR(INDEX(Plats!$D$5:$D$48,MATCH($A15,Plats!$I$5:$I$48,0)),""))</f>
        <v>Oui</v>
      </c>
    </row>
    <row r="16" customFormat="false" ht="15" hidden="false" customHeight="false" outlineLevel="0" collapsed="false">
      <c r="A16" s="25" t="s">
        <v>87</v>
      </c>
      <c r="B16" s="25" t="s">
        <v>99</v>
      </c>
      <c r="C16" s="34" t="n">
        <v>2.5</v>
      </c>
      <c r="D16" s="25" t="str">
        <f aca="false">IF($B16="","",IF(F16="kg","g",IF(F16="L","ml",F16)))</f>
        <v>g</v>
      </c>
      <c r="E16" s="27" t="n">
        <f aca="false">IF($B16="","",IFERROR(INDEX('Liste des ingrédients'!$H$5:$H$98,MATCH($B16,'Liste des ingrédients'!$B$5:$B$98,0)),0))</f>
        <v>40</v>
      </c>
      <c r="F16" s="25" t="str">
        <f aca="false">IF($B16="","",IFERROR(INDEX('Liste des ingrédients'!$G$5:$G$98,MATCH($B16,'Liste des ingrédients'!$B$5:$B$98,0)),"?"))</f>
        <v>kg</v>
      </c>
      <c r="G16" s="27" t="n">
        <f aca="false">IF(OR($B16="",$C16=""),0,IFERROR($C16*E16/IF(OR(F16="kg",F16="L"),1000,1),0))</f>
        <v>0.1</v>
      </c>
      <c r="H16" s="25" t="n">
        <f aca="false">IF(AND($A16&lt;&gt;"",$A16='Fiche plat'!$C$3),COUNTIF($A$5:$A16,'Fiche plat'!$C$3),"")</f>
        <v>12</v>
      </c>
      <c r="I16" s="0" t="str">
        <f aca="false">IF($A16="","",IFERROR(INDEX(Plats!$D$5:$D$48,MATCH($A16,Plats!$I$5:$I$48,0)),""))</f>
        <v>Oui</v>
      </c>
    </row>
    <row r="17" customFormat="false" ht="15" hidden="false" customHeight="false" outlineLevel="0" collapsed="false">
      <c r="A17" s="25" t="s">
        <v>87</v>
      </c>
      <c r="B17" s="25" t="s">
        <v>100</v>
      </c>
      <c r="C17" s="34" t="n">
        <v>2.5</v>
      </c>
      <c r="D17" s="25" t="str">
        <f aca="false">IF($B17="","",IF(F17="kg","g",IF(F17="L","ml",F17)))</f>
        <v>g</v>
      </c>
      <c r="E17" s="27" t="n">
        <f aca="false">IF($B17="","",IFERROR(INDEX('Liste des ingrédients'!$H$5:$H$98,MATCH($B17,'Liste des ingrédients'!$B$5:$B$98,0)),0))</f>
        <v>50</v>
      </c>
      <c r="F17" s="25" t="str">
        <f aca="false">IF($B17="","",IFERROR(INDEX('Liste des ingrédients'!$G$5:$G$98,MATCH($B17,'Liste des ingrédients'!$B$5:$B$98,0)),"?"))</f>
        <v>kg</v>
      </c>
      <c r="G17" s="27" t="n">
        <f aca="false">IF(OR($B17="",$C17=""),0,IFERROR($C17*E17/IF(OR(F17="kg",F17="L"),1000,1),0))</f>
        <v>0.125</v>
      </c>
      <c r="H17" s="25" t="n">
        <f aca="false">IF(AND($A17&lt;&gt;"",$A17='Fiche plat'!$C$3),COUNTIF($A$5:$A17,'Fiche plat'!$C$3),"")</f>
        <v>13</v>
      </c>
      <c r="I17" s="0" t="str">
        <f aca="false">IF($A17="","",IFERROR(INDEX(Plats!$D$5:$D$48,MATCH($A17,Plats!$I$5:$I$48,0)),""))</f>
        <v>Oui</v>
      </c>
    </row>
    <row r="18" customFormat="false" ht="15" hidden="false" customHeight="false" outlineLevel="0" collapsed="false">
      <c r="A18" s="25" t="s">
        <v>87</v>
      </c>
      <c r="B18" s="25" t="s">
        <v>101</v>
      </c>
      <c r="C18" s="34" t="n">
        <v>150</v>
      </c>
      <c r="D18" s="25" t="str">
        <f aca="false">IF($B18="","",IF(F18="kg","g",IF(F18="L","ml",F18)))</f>
        <v>ml</v>
      </c>
      <c r="E18" s="27" t="n">
        <f aca="false">IF($B18="","",IFERROR(INDEX('Liste des ingrédients'!$H$5:$H$98,MATCH($B18,'Liste des ingrédients'!$B$5:$B$98,0)),0))</f>
        <v>12.5</v>
      </c>
      <c r="F18" s="25" t="str">
        <f aca="false">IF($B18="","",IFERROR(INDEX('Liste des ingrédients'!$G$5:$G$98,MATCH($B18,'Liste des ingrédients'!$B$5:$B$98,0)),"?"))</f>
        <v>L</v>
      </c>
      <c r="G18" s="27" t="n">
        <f aca="false">IF(OR($B18="",$C18=""),0,IFERROR($C18*E18/IF(OR(F18="kg",F18="L"),1000,1),0))</f>
        <v>1.875</v>
      </c>
      <c r="H18" s="25" t="n">
        <f aca="false">IF(AND($A18&lt;&gt;"",$A18='Fiche plat'!$C$3),COUNTIF($A$5:$A18,'Fiche plat'!$C$3),"")</f>
        <v>14</v>
      </c>
      <c r="I18" s="0" t="str">
        <f aca="false">IF($A18="","",IFERROR(INDEX(Plats!$D$5:$D$48,MATCH($A18,Plats!$I$5:$I$48,0)),""))</f>
        <v>Oui</v>
      </c>
    </row>
    <row r="19" customFormat="false" ht="15" hidden="false" customHeight="false" outlineLevel="0" collapsed="false">
      <c r="A19" s="25" t="s">
        <v>87</v>
      </c>
      <c r="B19" s="25" t="s">
        <v>102</v>
      </c>
      <c r="C19" s="34" t="n">
        <v>12</v>
      </c>
      <c r="D19" s="25" t="str">
        <f aca="false">IF($B19="","",IF(F19="kg","g",IF(F19="L","ml",F19)))</f>
        <v>g</v>
      </c>
      <c r="E19" s="27" t="n">
        <f aca="false">IF($B19="","",IFERROR(INDEX('Liste des ingrédients'!$H$5:$H$98,MATCH($B19,'Liste des ingrédients'!$B$5:$B$98,0)),0))</f>
        <v>0.8</v>
      </c>
      <c r="F19" s="25" t="str">
        <f aca="false">IF($B19="","",IFERROR(INDEX('Liste des ingrédients'!$G$5:$G$98,MATCH($B19,'Liste des ingrédients'!$B$5:$B$98,0)),"?"))</f>
        <v>kg</v>
      </c>
      <c r="G19" s="27" t="n">
        <f aca="false">IF(OR($B19="",$C19=""),0,IFERROR($C19*E19/IF(OR(F19="kg",F19="L"),1000,1),0))</f>
        <v>0.0096</v>
      </c>
      <c r="H19" s="25" t="n">
        <f aca="false">IF(AND($A19&lt;&gt;"",$A19='Fiche plat'!$C$3),COUNTIF($A$5:$A19,'Fiche plat'!$C$3),"")</f>
        <v>15</v>
      </c>
      <c r="I19" s="0" t="str">
        <f aca="false">IF($A19="","",IFERROR(INDEX(Plats!$D$5:$D$48,MATCH($A19,Plats!$I$5:$I$48,0)),""))</f>
        <v>Oui</v>
      </c>
    </row>
    <row r="20" customFormat="false" ht="15" hidden="false" customHeight="false" outlineLevel="0" collapsed="false">
      <c r="A20" s="25" t="s">
        <v>87</v>
      </c>
      <c r="B20" s="25" t="s">
        <v>103</v>
      </c>
      <c r="C20" s="34" t="n">
        <v>2.5</v>
      </c>
      <c r="D20" s="25" t="str">
        <f aca="false">IF($B20="","",IF(F20="kg","g",IF(F20="L","ml",F20)))</f>
        <v>g</v>
      </c>
      <c r="E20" s="27" t="n">
        <f aca="false">IF($B20="","",IFERROR(INDEX('Liste des ingrédients'!$H$5:$H$98,MATCH($B20,'Liste des ingrédients'!$B$5:$B$98,0)),0))</f>
        <v>50</v>
      </c>
      <c r="F20" s="25" t="str">
        <f aca="false">IF($B20="","",IFERROR(INDEX('Liste des ingrédients'!$G$5:$G$98,MATCH($B20,'Liste des ingrédients'!$B$5:$B$98,0)),"?"))</f>
        <v>kg</v>
      </c>
      <c r="G20" s="27" t="n">
        <f aca="false">IF(OR($B20="",$C20=""),0,IFERROR($C20*E20/IF(OR(F20="kg",F20="L"),1000,1),0))</f>
        <v>0.125</v>
      </c>
      <c r="H20" s="25" t="n">
        <f aca="false">IF(AND($A20&lt;&gt;"",$A20='Fiche plat'!$C$3),COUNTIF($A$5:$A20,'Fiche plat'!$C$3),"")</f>
        <v>16</v>
      </c>
      <c r="I20" s="0" t="str">
        <f aca="false">IF($A20="","",IFERROR(INDEX(Plats!$D$5:$D$48,MATCH($A20,Plats!$I$5:$I$48,0)),""))</f>
        <v>Oui</v>
      </c>
    </row>
    <row r="21" customFormat="false" ht="15" hidden="false" customHeight="false" outlineLevel="0" collapsed="false">
      <c r="A21" s="25" t="s">
        <v>87</v>
      </c>
      <c r="B21" s="25" t="s">
        <v>104</v>
      </c>
      <c r="C21" s="34" t="n">
        <v>100</v>
      </c>
      <c r="D21" s="25" t="str">
        <f aca="false">IF($B21="","",IF(F21="kg","g",IF(F21="L","ml",F21)))</f>
        <v>g</v>
      </c>
      <c r="E21" s="27" t="n">
        <f aca="false">IF($B21="","",IFERROR(INDEX('Liste des ingrédients'!$H$5:$H$98,MATCH($B21,'Liste des ingrédients'!$B$5:$B$98,0)),0))</f>
        <v>3</v>
      </c>
      <c r="F21" s="25" t="str">
        <f aca="false">IF($B21="","",IFERROR(INDEX('Liste des ingrédients'!$G$5:$G$98,MATCH($B21,'Liste des ingrédients'!$B$5:$B$98,0)),"?"))</f>
        <v>kg</v>
      </c>
      <c r="G21" s="27" t="n">
        <f aca="false">IF(OR($B21="",$C21=""),0,IFERROR($C21*E21/IF(OR(F21="kg",F21="L"),1000,1),0))</f>
        <v>0.3</v>
      </c>
      <c r="H21" s="25" t="n">
        <f aca="false">IF(AND($A21&lt;&gt;"",$A21='Fiche plat'!$C$3),COUNTIF($A$5:$A21,'Fiche plat'!$C$3),"")</f>
        <v>17</v>
      </c>
      <c r="I21" s="0" t="str">
        <f aca="false">IF($A21="","",IFERROR(INDEX(Plats!$D$5:$D$48,MATCH($A21,Plats!$I$5:$I$48,0)),""))</f>
        <v>Oui</v>
      </c>
    </row>
    <row r="22" customFormat="false" ht="15" hidden="false" customHeight="false" outlineLevel="0" collapsed="false">
      <c r="A22" s="22" t="s">
        <v>105</v>
      </c>
      <c r="B22" s="22" t="s">
        <v>106</v>
      </c>
      <c r="C22" s="35" t="n">
        <v>400</v>
      </c>
      <c r="D22" s="22" t="str">
        <f aca="false">IF($B22="","",IF(F22="kg","g",IF(F22="L","ml",F22)))</f>
        <v>g</v>
      </c>
      <c r="E22" s="24" t="n">
        <f aca="false">IF($B22="","",IFERROR(INDEX('Liste des ingrédients'!$H$5:$H$98,MATCH($B22,'Liste des ingrédients'!$B$5:$B$98,0)),0))</f>
        <v>2.5</v>
      </c>
      <c r="F22" s="22" t="str">
        <f aca="false">IF($B22="","",IFERROR(INDEX('Liste des ingrédients'!$G$5:$G$98,MATCH($B22,'Liste des ingrédients'!$B$5:$B$98,0)),"?"))</f>
        <v>kg</v>
      </c>
      <c r="G22" s="24" t="n">
        <f aca="false">IF(OR($B22="",$C22=""),0,IFERROR($C22*E22/IF(OR(F22="kg",F22="L"),1000,1),0))</f>
        <v>1</v>
      </c>
      <c r="H22" s="22" t="str">
        <f aca="false">IF(AND($A22&lt;&gt;"",$A22='Fiche plat'!$C$3),COUNTIF($A$5:$A22,'Fiche plat'!$C$3),"")</f>
        <v/>
      </c>
      <c r="I22" s="0" t="str">
        <f aca="false">IF($A22="","",IFERROR(INDEX(Plats!$D$5:$D$48,MATCH($A22,Plats!$I$5:$I$48,0)),""))</f>
        <v>Oui</v>
      </c>
    </row>
    <row r="23" customFormat="false" ht="15" hidden="false" customHeight="false" outlineLevel="0" collapsed="false">
      <c r="A23" s="22" t="s">
        <v>105</v>
      </c>
      <c r="B23" s="22" t="s">
        <v>107</v>
      </c>
      <c r="C23" s="35" t="n">
        <v>30</v>
      </c>
      <c r="D23" s="22" t="str">
        <f aca="false">IF($B23="","",IF(F23="kg","g",IF(F23="L","ml",F23)))</f>
        <v>g</v>
      </c>
      <c r="E23" s="24" t="n">
        <f aca="false">IF($B23="","",IFERROR(INDEX('Liste des ingrédients'!$H$5:$H$98,MATCH($B23,'Liste des ingrédients'!$B$5:$B$98,0)),0))</f>
        <v>3.3</v>
      </c>
      <c r="F23" s="22" t="str">
        <f aca="false">IF($B23="","",IFERROR(INDEX('Liste des ingrédients'!$G$5:$G$98,MATCH($B23,'Liste des ingrédients'!$B$5:$B$98,0)),"?"))</f>
        <v>kg</v>
      </c>
      <c r="G23" s="24" t="n">
        <f aca="false">IF(OR($B23="",$C23=""),0,IFERROR($C23*E23/IF(OR(F23="kg",F23="L"),1000,1),0))</f>
        <v>0.099</v>
      </c>
      <c r="H23" s="22" t="str">
        <f aca="false">IF(AND($A23&lt;&gt;"",$A23='Fiche plat'!$C$3),COUNTIF($A$5:$A23,'Fiche plat'!$C$3),"")</f>
        <v/>
      </c>
      <c r="I23" s="0" t="str">
        <f aca="false">IF($A23="","",IFERROR(INDEX(Plats!$D$5:$D$48,MATCH($A23,Plats!$I$5:$I$48,0)),""))</f>
        <v>Oui</v>
      </c>
    </row>
    <row r="24" customFormat="false" ht="15" hidden="false" customHeight="false" outlineLevel="0" collapsed="false">
      <c r="A24" s="22" t="s">
        <v>105</v>
      </c>
      <c r="B24" s="22" t="s">
        <v>108</v>
      </c>
      <c r="C24" s="35" t="n">
        <v>500</v>
      </c>
      <c r="D24" s="22" t="str">
        <f aca="false">IF($B24="","",IF(F24="kg","g",IF(F24="L","ml",F24)))</f>
        <v>g</v>
      </c>
      <c r="E24" s="24" t="n">
        <f aca="false">IF($B24="","",IFERROR(INDEX('Liste des ingrédients'!$H$5:$H$98,MATCH($B24,'Liste des ingrédients'!$B$5:$B$98,0)),0))</f>
        <v>2</v>
      </c>
      <c r="F24" s="22" t="str">
        <f aca="false">IF($B24="","",IFERROR(INDEX('Liste des ingrédients'!$G$5:$G$98,MATCH($B24,'Liste des ingrédients'!$B$5:$B$98,0)),"?"))</f>
        <v>kg</v>
      </c>
      <c r="G24" s="24" t="n">
        <f aca="false">IF(OR($B24="",$C24=""),0,IFERROR($C24*E24/IF(OR(F24="kg",F24="L"),1000,1),0))</f>
        <v>1</v>
      </c>
      <c r="H24" s="22" t="str">
        <f aca="false">IF(AND($A24&lt;&gt;"",$A24='Fiche plat'!$C$3),COUNTIF($A$5:$A24,'Fiche plat'!$C$3),"")</f>
        <v/>
      </c>
      <c r="I24" s="0" t="str">
        <f aca="false">IF($A24="","",IFERROR(INDEX(Plats!$D$5:$D$48,MATCH($A24,Plats!$I$5:$I$48,0)),""))</f>
        <v>Oui</v>
      </c>
    </row>
    <row r="25" customFormat="false" ht="15" hidden="false" customHeight="false" outlineLevel="0" collapsed="false">
      <c r="A25" s="22" t="s">
        <v>105</v>
      </c>
      <c r="B25" s="22" t="s">
        <v>93</v>
      </c>
      <c r="C25" s="35" t="n">
        <v>60</v>
      </c>
      <c r="D25" s="22" t="str">
        <f aca="false">IF($B25="","",IF(F25="kg","g",IF(F25="L","ml",F25)))</f>
        <v>g</v>
      </c>
      <c r="E25" s="24" t="n">
        <f aca="false">IF($B25="","",IFERROR(INDEX('Liste des ingrédients'!$H$5:$H$98,MATCH($B25,'Liste des ingrédients'!$B$5:$B$98,0)),0))</f>
        <v>1.2</v>
      </c>
      <c r="F25" s="22" t="str">
        <f aca="false">IF($B25="","",IFERROR(INDEX('Liste des ingrédients'!$G$5:$G$98,MATCH($B25,'Liste des ingrédients'!$B$5:$B$98,0)),"?"))</f>
        <v>kg</v>
      </c>
      <c r="G25" s="24" t="n">
        <f aca="false">IF(OR($B25="",$C25=""),0,IFERROR($C25*E25/IF(OR(F25="kg",F25="L"),1000,1),0))</f>
        <v>0.072</v>
      </c>
      <c r="H25" s="22" t="str">
        <f aca="false">IF(AND($A25&lt;&gt;"",$A25='Fiche plat'!$C$3),COUNTIF($A$5:$A25,'Fiche plat'!$C$3),"")</f>
        <v/>
      </c>
      <c r="I25" s="0" t="str">
        <f aca="false">IF($A25="","",IFERROR(INDEX(Plats!$D$5:$D$48,MATCH($A25,Plats!$I$5:$I$48,0)),""))</f>
        <v>Oui</v>
      </c>
    </row>
    <row r="26" customFormat="false" ht="15" hidden="false" customHeight="false" outlineLevel="0" collapsed="false">
      <c r="A26" s="22" t="s">
        <v>105</v>
      </c>
      <c r="B26" s="22" t="s">
        <v>97</v>
      </c>
      <c r="C26" s="35" t="n">
        <v>10</v>
      </c>
      <c r="D26" s="22" t="str">
        <f aca="false">IF($B26="","",IF(F26="kg","g",IF(F26="L","ml",F26)))</f>
        <v>g</v>
      </c>
      <c r="E26" s="24" t="n">
        <f aca="false">IF($B26="","",IFERROR(INDEX('Liste des ingrédients'!$H$5:$H$98,MATCH($B26,'Liste des ingrédients'!$B$5:$B$98,0)),0))</f>
        <v>15</v>
      </c>
      <c r="F26" s="22" t="str">
        <f aca="false">IF($B26="","",IFERROR(INDEX('Liste des ingrédients'!$G$5:$G$98,MATCH($B26,'Liste des ingrédients'!$B$5:$B$98,0)),"?"))</f>
        <v>kg</v>
      </c>
      <c r="G26" s="24" t="n">
        <f aca="false">IF(OR($B26="",$C26=""),0,IFERROR($C26*E26/IF(OR(F26="kg",F26="L"),1000,1),0))</f>
        <v>0.15</v>
      </c>
      <c r="H26" s="22" t="str">
        <f aca="false">IF(AND($A26&lt;&gt;"",$A26='Fiche plat'!$C$3),COUNTIF($A$5:$A26,'Fiche plat'!$C$3),"")</f>
        <v/>
      </c>
      <c r="I26" s="0" t="str">
        <f aca="false">IF($A26="","",IFERROR(INDEX(Plats!$D$5:$D$48,MATCH($A26,Plats!$I$5:$I$48,0)),""))</f>
        <v>Oui</v>
      </c>
    </row>
    <row r="27" customFormat="false" ht="15" hidden="false" customHeight="false" outlineLevel="0" collapsed="false">
      <c r="A27" s="22" t="s">
        <v>105</v>
      </c>
      <c r="B27" s="22" t="s">
        <v>99</v>
      </c>
      <c r="C27" s="35" t="n">
        <v>2.5</v>
      </c>
      <c r="D27" s="22" t="str">
        <f aca="false">IF($B27="","",IF(F27="kg","g",IF(F27="L","ml",F27)))</f>
        <v>g</v>
      </c>
      <c r="E27" s="24" t="n">
        <f aca="false">IF($B27="","",IFERROR(INDEX('Liste des ingrédients'!$H$5:$H$98,MATCH($B27,'Liste des ingrédients'!$B$5:$B$98,0)),0))</f>
        <v>40</v>
      </c>
      <c r="F27" s="22" t="str">
        <f aca="false">IF($B27="","",IFERROR(INDEX('Liste des ingrédients'!$G$5:$G$98,MATCH($B27,'Liste des ingrédients'!$B$5:$B$98,0)),"?"))</f>
        <v>kg</v>
      </c>
      <c r="G27" s="24" t="n">
        <f aca="false">IF(OR($B27="",$C27=""),0,IFERROR($C27*E27/IF(OR(F27="kg",F27="L"),1000,1),0))</f>
        <v>0.1</v>
      </c>
      <c r="H27" s="22" t="str">
        <f aca="false">IF(AND($A27&lt;&gt;"",$A27='Fiche plat'!$C$3),COUNTIF($A$5:$A27,'Fiche plat'!$C$3),"")</f>
        <v/>
      </c>
      <c r="I27" s="0" t="str">
        <f aca="false">IF($A27="","",IFERROR(INDEX(Plats!$D$5:$D$48,MATCH($A27,Plats!$I$5:$I$48,0)),""))</f>
        <v>Oui</v>
      </c>
    </row>
    <row r="28" customFormat="false" ht="15" hidden="false" customHeight="false" outlineLevel="0" collapsed="false">
      <c r="A28" s="22" t="s">
        <v>105</v>
      </c>
      <c r="B28" s="22" t="s">
        <v>101</v>
      </c>
      <c r="C28" s="35" t="n">
        <v>120</v>
      </c>
      <c r="D28" s="22" t="str">
        <f aca="false">IF($B28="","",IF(F28="kg","g",IF(F28="L","ml",F28)))</f>
        <v>ml</v>
      </c>
      <c r="E28" s="24" t="n">
        <f aca="false">IF($B28="","",IFERROR(INDEX('Liste des ingrédients'!$H$5:$H$98,MATCH($B28,'Liste des ingrédients'!$B$5:$B$98,0)),0))</f>
        <v>12.5</v>
      </c>
      <c r="F28" s="22" t="str">
        <f aca="false">IF($B28="","",IFERROR(INDEX('Liste des ingrédients'!$G$5:$G$98,MATCH($B28,'Liste des ingrédients'!$B$5:$B$98,0)),"?"))</f>
        <v>L</v>
      </c>
      <c r="G28" s="24" t="n">
        <f aca="false">IF(OR($B28="",$C28=""),0,IFERROR($C28*E28/IF(OR(F28="kg",F28="L"),1000,1),0))</f>
        <v>1.5</v>
      </c>
      <c r="H28" s="22" t="str">
        <f aca="false">IF(AND($A28&lt;&gt;"",$A28='Fiche plat'!$C$3),COUNTIF($A$5:$A28,'Fiche plat'!$C$3),"")</f>
        <v/>
      </c>
      <c r="I28" s="0" t="str">
        <f aca="false">IF($A28="","",IFERROR(INDEX(Plats!$D$5:$D$48,MATCH($A28,Plats!$I$5:$I$48,0)),""))</f>
        <v>Oui</v>
      </c>
    </row>
    <row r="29" customFormat="false" ht="15" hidden="false" customHeight="false" outlineLevel="0" collapsed="false">
      <c r="A29" s="22" t="s">
        <v>105</v>
      </c>
      <c r="B29" s="22" t="s">
        <v>104</v>
      </c>
      <c r="C29" s="35" t="n">
        <v>50</v>
      </c>
      <c r="D29" s="22" t="str">
        <f aca="false">IF($B29="","",IF(F29="kg","g",IF(F29="L","ml",F29)))</f>
        <v>g</v>
      </c>
      <c r="E29" s="24" t="n">
        <f aca="false">IF($B29="","",IFERROR(INDEX('Liste des ingrédients'!$H$5:$H$98,MATCH($B29,'Liste des ingrédients'!$B$5:$B$98,0)),0))</f>
        <v>3</v>
      </c>
      <c r="F29" s="22" t="str">
        <f aca="false">IF($B29="","",IFERROR(INDEX('Liste des ingrédients'!$G$5:$G$98,MATCH($B29,'Liste des ingrédients'!$B$5:$B$98,0)),"?"))</f>
        <v>kg</v>
      </c>
      <c r="G29" s="24" t="n">
        <f aca="false">IF(OR($B29="",$C29=""),0,IFERROR($C29*E29/IF(OR(F29="kg",F29="L"),1000,1),0))</f>
        <v>0.15</v>
      </c>
      <c r="H29" s="22" t="str">
        <f aca="false">IF(AND($A29&lt;&gt;"",$A29='Fiche plat'!$C$3),COUNTIF($A$5:$A29,'Fiche plat'!$C$3),"")</f>
        <v/>
      </c>
      <c r="I29" s="0" t="str">
        <f aca="false">IF($A29="","",IFERROR(INDEX(Plats!$D$5:$D$48,MATCH($A29,Plats!$I$5:$I$48,0)),""))</f>
        <v>Oui</v>
      </c>
    </row>
    <row r="30" customFormat="false" ht="15" hidden="false" customHeight="false" outlineLevel="0" collapsed="false">
      <c r="A30" s="22" t="s">
        <v>105</v>
      </c>
      <c r="B30" s="22" t="s">
        <v>102</v>
      </c>
      <c r="C30" s="35" t="n">
        <v>12</v>
      </c>
      <c r="D30" s="22" t="str">
        <f aca="false">IF($B30="","",IF(F30="kg","g",IF(F30="L","ml",F30)))</f>
        <v>g</v>
      </c>
      <c r="E30" s="24" t="n">
        <f aca="false">IF($B30="","",IFERROR(INDEX('Liste des ingrédients'!$H$5:$H$98,MATCH($B30,'Liste des ingrédients'!$B$5:$B$98,0)),0))</f>
        <v>0.8</v>
      </c>
      <c r="F30" s="22" t="str">
        <f aca="false">IF($B30="","",IFERROR(INDEX('Liste des ingrédients'!$G$5:$G$98,MATCH($B30,'Liste des ingrédients'!$B$5:$B$98,0)),"?"))</f>
        <v>kg</v>
      </c>
      <c r="G30" s="24" t="n">
        <f aca="false">IF(OR($B30="",$C30=""),0,IFERROR($C30*E30/IF(OR(F30="kg",F30="L"),1000,1),0))</f>
        <v>0.0096</v>
      </c>
      <c r="H30" s="22" t="str">
        <f aca="false">IF(AND($A30&lt;&gt;"",$A30='Fiche plat'!$C$3),COUNTIF($A$5:$A30,'Fiche plat'!$C$3),"")</f>
        <v/>
      </c>
      <c r="I30" s="0" t="str">
        <f aca="false">IF($A30="","",IFERROR(INDEX(Plats!$D$5:$D$48,MATCH($A30,Plats!$I$5:$I$48,0)),""))</f>
        <v>Oui</v>
      </c>
    </row>
    <row r="31" customFormat="false" ht="15" hidden="false" customHeight="false" outlineLevel="0" collapsed="false">
      <c r="A31" s="22" t="s">
        <v>105</v>
      </c>
      <c r="B31" s="22" t="s">
        <v>109</v>
      </c>
      <c r="C31" s="35" t="n">
        <v>1</v>
      </c>
      <c r="D31" s="22" t="str">
        <f aca="false">IF($B31="","",IF(F31="kg","g",IF(F31="L","ml",F31)))</f>
        <v>boîte</v>
      </c>
      <c r="E31" s="24" t="n">
        <f aca="false">IF($B31="","",IFERROR(INDEX('Liste des ingrédients'!$H$5:$H$98,MATCH($B31,'Liste des ingrédients'!$B$5:$B$98,0)),0))</f>
        <v>4.5</v>
      </c>
      <c r="F31" s="22" t="str">
        <f aca="false">IF($B31="","",IFERROR(INDEX('Liste des ingrédients'!$G$5:$G$98,MATCH($B31,'Liste des ingrédients'!$B$5:$B$98,0)),"?"))</f>
        <v>boîte</v>
      </c>
      <c r="G31" s="24" t="n">
        <f aca="false">IF(OR($B31="",$C31=""),0,IFERROR($C31*E31/IF(OR(F31="kg",F31="L"),1000,1),0))</f>
        <v>4.5</v>
      </c>
      <c r="H31" s="22" t="str">
        <f aca="false">IF(AND($A31&lt;&gt;"",$A31='Fiche plat'!$C$3),COUNTIF($A$5:$A31,'Fiche plat'!$C$3),"")</f>
        <v/>
      </c>
      <c r="I31" s="0" t="str">
        <f aca="false">IF($A31="","",IFERROR(INDEX(Plats!$D$5:$D$48,MATCH($A31,Plats!$I$5:$I$48,0)),""))</f>
        <v>Oui</v>
      </c>
    </row>
    <row r="32" customFormat="false" ht="15" hidden="false" customHeight="false" outlineLevel="0" collapsed="false">
      <c r="A32" s="22" t="s">
        <v>105</v>
      </c>
      <c r="B32" s="22" t="s">
        <v>110</v>
      </c>
      <c r="C32" s="35" t="n">
        <v>4</v>
      </c>
      <c r="D32" s="22" t="str">
        <f aca="false">IF($B32="","",IF(F32="kg","g",IF(F32="L","ml",F32)))</f>
        <v>œuf</v>
      </c>
      <c r="E32" s="24" t="n">
        <f aca="false">IF($B32="","",IFERROR(INDEX('Liste des ingrédients'!$H$5:$H$98,MATCH($B32,'Liste des ingrédients'!$B$5:$B$98,0)),0))</f>
        <v>0.3</v>
      </c>
      <c r="F32" s="22" t="str">
        <f aca="false">IF($B32="","",IFERROR(INDEX('Liste des ingrédients'!$G$5:$G$98,MATCH($B32,'Liste des ingrédients'!$B$5:$B$98,0)),"?"))</f>
        <v>œuf</v>
      </c>
      <c r="G32" s="24" t="n">
        <f aca="false">IF(OR($B32="",$C32=""),0,IFERROR($C32*E32/IF(OR(F32="kg",F32="L"),1000,1),0))</f>
        <v>1.2</v>
      </c>
      <c r="H32" s="22" t="str">
        <f aca="false">IF(AND($A32&lt;&gt;"",$A32='Fiche plat'!$C$3),COUNTIF($A$5:$A32,'Fiche plat'!$C$3),"")</f>
        <v/>
      </c>
      <c r="I32" s="0" t="str">
        <f aca="false">IF($A32="","",IFERROR(INDEX(Plats!$D$5:$D$48,MATCH($A32,Plats!$I$5:$I$48,0)),""))</f>
        <v>Oui</v>
      </c>
    </row>
    <row r="33" customFormat="false" ht="15" hidden="false" customHeight="false" outlineLevel="0" collapsed="false">
      <c r="A33" s="22" t="s">
        <v>105</v>
      </c>
      <c r="B33" s="22" t="s">
        <v>111</v>
      </c>
      <c r="C33" s="35" t="n">
        <v>500</v>
      </c>
      <c r="D33" s="22" t="str">
        <f aca="false">IF($B33="","",IF(F33="kg","g",IF(F33="L","ml",F33)))</f>
        <v>g</v>
      </c>
      <c r="E33" s="24" t="n">
        <f aca="false">IF($B33="","",IFERROR(INDEX('Liste des ingrédients'!$H$5:$H$98,MATCH($B33,'Liste des ingrédients'!$B$5:$B$98,0)),0))</f>
        <v>1.2</v>
      </c>
      <c r="F33" s="22" t="str">
        <f aca="false">IF($B33="","",IFERROR(INDEX('Liste des ingrédients'!$G$5:$G$98,MATCH($B33,'Liste des ingrédients'!$B$5:$B$98,0)),"?"))</f>
        <v>kg</v>
      </c>
      <c r="G33" s="24" t="n">
        <f aca="false">IF(OR($B33="",$C33=""),0,IFERROR($C33*E33/IF(OR(F33="kg",F33="L"),1000,1),0))</f>
        <v>0.6</v>
      </c>
      <c r="H33" s="22" t="str">
        <f aca="false">IF(AND($A33&lt;&gt;"",$A33='Fiche plat'!$C$3),COUNTIF($A$5:$A33,'Fiche plat'!$C$3),"")</f>
        <v/>
      </c>
      <c r="I33" s="0" t="str">
        <f aca="false">IF($A33="","",IFERROR(INDEX(Plats!$D$5:$D$48,MATCH($A33,Plats!$I$5:$I$48,0)),""))</f>
        <v>Oui</v>
      </c>
    </row>
    <row r="34" customFormat="false" ht="15" hidden="false" customHeight="false" outlineLevel="0" collapsed="false">
      <c r="A34" s="22" t="s">
        <v>105</v>
      </c>
      <c r="B34" s="22" t="s">
        <v>112</v>
      </c>
      <c r="C34" s="35" t="n">
        <v>1</v>
      </c>
      <c r="D34" s="22" t="str">
        <f aca="false">IF($B34="","",IF(F34="kg","g",IF(F34="L","ml",F34)))</f>
        <v>sachet</v>
      </c>
      <c r="E34" s="24" t="n">
        <f aca="false">IF($B34="","",IFERROR(INDEX('Liste des ingrédients'!$H$5:$H$98,MATCH($B34,'Liste des ingrédients'!$B$5:$B$98,0)),0))</f>
        <v>0.3</v>
      </c>
      <c r="F34" s="22" t="str">
        <f aca="false">IF($B34="","",IFERROR(INDEX('Liste des ingrédients'!$G$5:$G$98,MATCH($B34,'Liste des ingrédients'!$B$5:$B$98,0)),"?"))</f>
        <v>sachet</v>
      </c>
      <c r="G34" s="24" t="n">
        <f aca="false">IF(OR($B34="",$C34=""),0,IFERROR($C34*E34/IF(OR(F34="kg",F34="L"),1000,1),0))</f>
        <v>0.3</v>
      </c>
      <c r="H34" s="22" t="str">
        <f aca="false">IF(AND($A34&lt;&gt;"",$A34='Fiche plat'!$C$3),COUNTIF($A$5:$A34,'Fiche plat'!$C$3),"")</f>
        <v/>
      </c>
      <c r="I34" s="0" t="str">
        <f aca="false">IF($A34="","",IFERROR(INDEX(Plats!$D$5:$D$48,MATCH($A34,Plats!$I$5:$I$48,0)),""))</f>
        <v>Oui</v>
      </c>
    </row>
    <row r="35" customFormat="false" ht="15" hidden="false" customHeight="false" outlineLevel="0" collapsed="false">
      <c r="A35" s="25" t="s">
        <v>113</v>
      </c>
      <c r="B35" s="25" t="s">
        <v>114</v>
      </c>
      <c r="C35" s="34" t="n">
        <v>400</v>
      </c>
      <c r="D35" s="25" t="str">
        <f aca="false">IF($B35="","",IF(F35="kg","g",IF(F35="L","ml",F35)))</f>
        <v>g</v>
      </c>
      <c r="E35" s="27" t="n">
        <f aca="false">IF($B35="","",IFERROR(INDEX('Liste des ingrédients'!$H$5:$H$98,MATCH($B35,'Liste des ingrédients'!$B$5:$B$98,0)),0))</f>
        <v>19.4</v>
      </c>
      <c r="F35" s="25" t="str">
        <f aca="false">IF($B35="","",IFERROR(INDEX('Liste des ingrédients'!$G$5:$G$98,MATCH($B35,'Liste des ingrédients'!$B$5:$B$98,0)),"?"))</f>
        <v>kg</v>
      </c>
      <c r="G35" s="27" t="n">
        <f aca="false">IF(OR($B35="",$C35=""),0,IFERROR($C35*E35/IF(OR(F35="kg",F35="L"),1000,1),0))</f>
        <v>7.76</v>
      </c>
      <c r="H35" s="25" t="str">
        <f aca="false">IF(AND($A35&lt;&gt;"",$A35='Fiche plat'!$C$3),COUNTIF($A$5:$A35,'Fiche plat'!$C$3),"")</f>
        <v/>
      </c>
      <c r="I35" s="0" t="str">
        <f aca="false">IF($A35="","",IFERROR(INDEX(Plats!$D$5:$D$48,MATCH($A35,Plats!$I$5:$I$48,0)),""))</f>
        <v>Oui</v>
      </c>
    </row>
    <row r="36" customFormat="false" ht="15" hidden="false" customHeight="false" outlineLevel="0" collapsed="false">
      <c r="A36" s="25" t="s">
        <v>113</v>
      </c>
      <c r="B36" s="25" t="s">
        <v>92</v>
      </c>
      <c r="C36" s="34" t="n">
        <v>600</v>
      </c>
      <c r="D36" s="25" t="str">
        <f aca="false">IF($B36="","",IF(F36="kg","g",IF(F36="L","ml",F36)))</f>
        <v>g</v>
      </c>
      <c r="E36" s="27" t="n">
        <f aca="false">IF($B36="","",IFERROR(INDEX('Liste des ingrédients'!$H$5:$H$98,MATCH($B36,'Liste des ingrédients'!$B$5:$B$98,0)),0))</f>
        <v>2.5</v>
      </c>
      <c r="F36" s="25" t="str">
        <f aca="false">IF($B36="","",IFERROR(INDEX('Liste des ingrédients'!$G$5:$G$98,MATCH($B36,'Liste des ingrédients'!$B$5:$B$98,0)),"?"))</f>
        <v>kg</v>
      </c>
      <c r="G36" s="27" t="n">
        <f aca="false">IF(OR($B36="",$C36=""),0,IFERROR($C36*E36/IF(OR(F36="kg",F36="L"),1000,1),0))</f>
        <v>1.5</v>
      </c>
      <c r="H36" s="25" t="str">
        <f aca="false">IF(AND($A36&lt;&gt;"",$A36='Fiche plat'!$C$3),COUNTIF($A$5:$A36,'Fiche plat'!$C$3),"")</f>
        <v/>
      </c>
      <c r="I36" s="0" t="str">
        <f aca="false">IF($A36="","",IFERROR(INDEX(Plats!$D$5:$D$48,MATCH($A36,Plats!$I$5:$I$48,0)),""))</f>
        <v>Oui</v>
      </c>
    </row>
    <row r="37" customFormat="false" ht="15" hidden="false" customHeight="false" outlineLevel="0" collapsed="false">
      <c r="A37" s="25" t="s">
        <v>113</v>
      </c>
      <c r="B37" s="25" t="s">
        <v>110</v>
      </c>
      <c r="C37" s="34" t="n">
        <v>8</v>
      </c>
      <c r="D37" s="25" t="str">
        <f aca="false">IF($B37="","",IF(F37="kg","g",IF(F37="L","ml",F37)))</f>
        <v>œuf</v>
      </c>
      <c r="E37" s="27" t="n">
        <f aca="false">IF($B37="","",IFERROR(INDEX('Liste des ingrédients'!$H$5:$H$98,MATCH($B37,'Liste des ingrédients'!$B$5:$B$98,0)),0))</f>
        <v>0.3</v>
      </c>
      <c r="F37" s="25" t="str">
        <f aca="false">IF($B37="","",IFERROR(INDEX('Liste des ingrédients'!$G$5:$G$98,MATCH($B37,'Liste des ingrédients'!$B$5:$B$98,0)),"?"))</f>
        <v>œuf</v>
      </c>
      <c r="G37" s="27" t="n">
        <f aca="false">IF(OR($B37="",$C37=""),0,IFERROR($C37*E37/IF(OR(F37="kg",F37="L"),1000,1),0))</f>
        <v>2.4</v>
      </c>
      <c r="H37" s="25" t="str">
        <f aca="false">IF(AND($A37&lt;&gt;"",$A37='Fiche plat'!$C$3),COUNTIF($A$5:$A37,'Fiche plat'!$C$3),"")</f>
        <v/>
      </c>
      <c r="I37" s="0" t="str">
        <f aca="false">IF($A37="","",IFERROR(INDEX(Plats!$D$5:$D$48,MATCH($A37,Plats!$I$5:$I$48,0)),""))</f>
        <v>Oui</v>
      </c>
    </row>
    <row r="38" customFormat="false" ht="15" hidden="false" customHeight="false" outlineLevel="0" collapsed="false">
      <c r="A38" s="25" t="s">
        <v>113</v>
      </c>
      <c r="B38" s="25" t="s">
        <v>115</v>
      </c>
      <c r="C38" s="34" t="n">
        <v>150</v>
      </c>
      <c r="D38" s="25" t="str">
        <f aca="false">IF($B38="","",IF(F38="kg","g",IF(F38="L","ml",F38)))</f>
        <v>g</v>
      </c>
      <c r="E38" s="27" t="n">
        <f aca="false">IF($B38="","",IFERROR(INDEX('Liste des ingrédients'!$H$5:$H$98,MATCH($B38,'Liste des ingrédients'!$B$5:$B$98,0)),0))</f>
        <v>30</v>
      </c>
      <c r="F38" s="25" t="str">
        <f aca="false">IF($B38="","",IFERROR(INDEX('Liste des ingrédients'!$G$5:$G$98,MATCH($B38,'Liste des ingrédients'!$B$5:$B$98,0)),"?"))</f>
        <v>kg</v>
      </c>
      <c r="G38" s="27" t="n">
        <f aca="false">IF(OR($B38="",$C38=""),0,IFERROR($C38*E38/IF(OR(F38="kg",F38="L"),1000,1),0))</f>
        <v>4.5</v>
      </c>
      <c r="H38" s="25" t="str">
        <f aca="false">IF(AND($A38&lt;&gt;"",$A38='Fiche plat'!$C$3),COUNTIF($A$5:$A38,'Fiche plat'!$C$3),"")</f>
        <v/>
      </c>
      <c r="I38" s="0" t="str">
        <f aca="false">IF($A38="","",IFERROR(INDEX(Plats!$D$5:$D$48,MATCH($A38,Plats!$I$5:$I$48,0)),""))</f>
        <v>Oui</v>
      </c>
    </row>
    <row r="39" customFormat="false" ht="15" hidden="false" customHeight="false" outlineLevel="0" collapsed="false">
      <c r="A39" s="25" t="s">
        <v>113</v>
      </c>
      <c r="B39" s="25" t="s">
        <v>116</v>
      </c>
      <c r="C39" s="34" t="n">
        <v>0.5</v>
      </c>
      <c r="D39" s="25" t="str">
        <f aca="false">IF($B39="","",IF(F39="kg","g",IF(F39="L","ml",F39)))</f>
        <v>botte</v>
      </c>
      <c r="E39" s="27" t="n">
        <f aca="false">IF($B39="","",IFERROR(INDEX('Liste des ingrédients'!$H$5:$H$98,MATCH($B39,'Liste des ingrédients'!$B$5:$B$98,0)),0))</f>
        <v>0.8</v>
      </c>
      <c r="F39" s="25" t="str">
        <f aca="false">IF($B39="","",IFERROR(INDEX('Liste des ingrédients'!$G$5:$G$98,MATCH($B39,'Liste des ingrédients'!$B$5:$B$98,0)),"?"))</f>
        <v>botte</v>
      </c>
      <c r="G39" s="27" t="n">
        <f aca="false">IF(OR($B39="",$C39=""),0,IFERROR($C39*E39/IF(OR(F39="kg",F39="L"),1000,1),0))</f>
        <v>0.4</v>
      </c>
      <c r="H39" s="25" t="str">
        <f aca="false">IF(AND($A39&lt;&gt;"",$A39='Fiche plat'!$C$3),COUNTIF($A$5:$A39,'Fiche plat'!$C$3),"")</f>
        <v/>
      </c>
      <c r="I39" s="0" t="str">
        <f aca="false">IF($A39="","",IFERROR(INDEX(Plats!$D$5:$D$48,MATCH($A39,Plats!$I$5:$I$48,0)),""))</f>
        <v>Oui</v>
      </c>
    </row>
    <row r="40" customFormat="false" ht="15" hidden="false" customHeight="false" outlineLevel="0" collapsed="false">
      <c r="A40" s="25" t="s">
        <v>113</v>
      </c>
      <c r="B40" s="25" t="s">
        <v>93</v>
      </c>
      <c r="C40" s="34" t="n">
        <v>100</v>
      </c>
      <c r="D40" s="25" t="str">
        <f aca="false">IF($B40="","",IF(F40="kg","g",IF(F40="L","ml",F40)))</f>
        <v>g</v>
      </c>
      <c r="E40" s="27" t="n">
        <f aca="false">IF($B40="","",IFERROR(INDEX('Liste des ingrédients'!$H$5:$H$98,MATCH($B40,'Liste des ingrédients'!$B$5:$B$98,0)),0))</f>
        <v>1.2</v>
      </c>
      <c r="F40" s="25" t="str">
        <f aca="false">IF($B40="","",IFERROR(INDEX('Liste des ingrédients'!$G$5:$G$98,MATCH($B40,'Liste des ingrédients'!$B$5:$B$98,0)),"?"))</f>
        <v>kg</v>
      </c>
      <c r="G40" s="27" t="n">
        <f aca="false">IF(OR($B40="",$C40=""),0,IFERROR($C40*E40/IF(OR(F40="kg",F40="L"),1000,1),0))</f>
        <v>0.12</v>
      </c>
      <c r="H40" s="25" t="str">
        <f aca="false">IF(AND($A40&lt;&gt;"",$A40='Fiche plat'!$C$3),COUNTIF($A$5:$A40,'Fiche plat'!$C$3),"")</f>
        <v/>
      </c>
      <c r="I40" s="0" t="str">
        <f aca="false">IF($A40="","",IFERROR(INDEX(Plats!$D$5:$D$48,MATCH($A40,Plats!$I$5:$I$48,0)),""))</f>
        <v>Oui</v>
      </c>
    </row>
    <row r="41" customFormat="false" ht="15" hidden="false" customHeight="false" outlineLevel="0" collapsed="false">
      <c r="A41" s="25" t="s">
        <v>113</v>
      </c>
      <c r="B41" s="25" t="s">
        <v>98</v>
      </c>
      <c r="C41" s="34" t="n">
        <v>1.5</v>
      </c>
      <c r="D41" s="25" t="str">
        <f aca="false">IF($B41="","",IF(F41="kg","g",IF(F41="L","ml",F41)))</f>
        <v>g</v>
      </c>
      <c r="E41" s="27" t="n">
        <f aca="false">IF($B41="","",IFERROR(INDEX('Liste des ingrédients'!$H$5:$H$98,MATCH($B41,'Liste des ingrédients'!$B$5:$B$98,0)),0))</f>
        <v>40</v>
      </c>
      <c r="F41" s="25" t="str">
        <f aca="false">IF($B41="","",IFERROR(INDEX('Liste des ingrédients'!$G$5:$G$98,MATCH($B41,'Liste des ingrédients'!$B$5:$B$98,0)),"?"))</f>
        <v>kg</v>
      </c>
      <c r="G41" s="27" t="n">
        <f aca="false">IF(OR($B41="",$C41=""),0,IFERROR($C41*E41/IF(OR(F41="kg",F41="L"),1000,1),0))</f>
        <v>0.06</v>
      </c>
      <c r="H41" s="25" t="str">
        <f aca="false">IF(AND($A41&lt;&gt;"",$A41='Fiche plat'!$C$3),COUNTIF($A$5:$A41,'Fiche plat'!$C$3),"")</f>
        <v/>
      </c>
      <c r="I41" s="0" t="str">
        <f aca="false">IF($A41="","",IFERROR(INDEX(Plats!$D$5:$D$48,MATCH($A41,Plats!$I$5:$I$48,0)),""))</f>
        <v>Oui</v>
      </c>
    </row>
    <row r="42" customFormat="false" ht="15" hidden="false" customHeight="false" outlineLevel="0" collapsed="false">
      <c r="A42" s="25" t="s">
        <v>113</v>
      </c>
      <c r="B42" s="25" t="s">
        <v>117</v>
      </c>
      <c r="C42" s="34" t="n">
        <v>1.5</v>
      </c>
      <c r="D42" s="25" t="str">
        <f aca="false">IF($B42="","",IF(F42="kg","g",IF(F42="L","ml",F42)))</f>
        <v>g</v>
      </c>
      <c r="E42" s="27" t="n">
        <f aca="false">IF($B42="","",IFERROR(INDEX('Liste des ingrédients'!$H$5:$H$98,MATCH($B42,'Liste des ingrédients'!$B$5:$B$98,0)),0))</f>
        <v>33</v>
      </c>
      <c r="F42" s="25" t="str">
        <f aca="false">IF($B42="","",IFERROR(INDEX('Liste des ingrédients'!$G$5:$G$98,MATCH($B42,'Liste des ingrédients'!$B$5:$B$98,0)),"?"))</f>
        <v>kg</v>
      </c>
      <c r="G42" s="27" t="n">
        <f aca="false">IF(OR($B42="",$C42=""),0,IFERROR($C42*E42/IF(OR(F42="kg",F42="L"),1000,1),0))</f>
        <v>0.0495</v>
      </c>
      <c r="H42" s="25" t="str">
        <f aca="false">IF(AND($A42&lt;&gt;"",$A42='Fiche plat'!$C$3),COUNTIF($A$5:$A42,'Fiche plat'!$C$3),"")</f>
        <v/>
      </c>
      <c r="I42" s="0" t="str">
        <f aca="false">IF($A42="","",IFERROR(INDEX(Plats!$D$5:$D$48,MATCH($A42,Plats!$I$5:$I$48,0)),""))</f>
        <v>Oui</v>
      </c>
    </row>
    <row r="43" customFormat="false" ht="15" hidden="false" customHeight="false" outlineLevel="0" collapsed="false">
      <c r="A43" s="25" t="s">
        <v>113</v>
      </c>
      <c r="B43" s="25" t="s">
        <v>101</v>
      </c>
      <c r="C43" s="34" t="n">
        <v>30</v>
      </c>
      <c r="D43" s="25" t="str">
        <f aca="false">IF($B43="","",IF(F43="kg","g",IF(F43="L","ml",F43)))</f>
        <v>ml</v>
      </c>
      <c r="E43" s="27" t="n">
        <f aca="false">IF($B43="","",IFERROR(INDEX('Liste des ingrédients'!$H$5:$H$98,MATCH($B43,'Liste des ingrédients'!$B$5:$B$98,0)),0))</f>
        <v>12.5</v>
      </c>
      <c r="F43" s="25" t="str">
        <f aca="false">IF($B43="","",IFERROR(INDEX('Liste des ingrédients'!$G$5:$G$98,MATCH($B43,'Liste des ingrédients'!$B$5:$B$98,0)),"?"))</f>
        <v>L</v>
      </c>
      <c r="G43" s="27" t="n">
        <f aca="false">IF(OR($B43="",$C43=""),0,IFERROR($C43*E43/IF(OR(F43="kg",F43="L"),1000,1),0))</f>
        <v>0.375</v>
      </c>
      <c r="H43" s="25" t="str">
        <f aca="false">IF(AND($A43&lt;&gt;"",$A43='Fiche plat'!$C$3),COUNTIF($A$5:$A43,'Fiche plat'!$C$3),"")</f>
        <v/>
      </c>
      <c r="I43" s="0" t="str">
        <f aca="false">IF($A43="","",IFERROR(INDEX(Plats!$D$5:$D$48,MATCH($A43,Plats!$I$5:$I$48,0)),""))</f>
        <v>Oui</v>
      </c>
    </row>
    <row r="44" customFormat="false" ht="15" hidden="false" customHeight="false" outlineLevel="0" collapsed="false">
      <c r="A44" s="25" t="s">
        <v>113</v>
      </c>
      <c r="B44" s="25" t="s">
        <v>118</v>
      </c>
      <c r="C44" s="34" t="n">
        <v>400</v>
      </c>
      <c r="D44" s="25" t="str">
        <f aca="false">IF($B44="","",IF(F44="kg","g",IF(F44="L","ml",F44)))</f>
        <v>ml</v>
      </c>
      <c r="E44" s="27" t="n">
        <f aca="false">IF($B44="","",IFERROR(INDEX('Liste des ingrédients'!$H$5:$H$98,MATCH($B44,'Liste des ingrédients'!$B$5:$B$98,0)),0))</f>
        <v>6</v>
      </c>
      <c r="F44" s="25" t="str">
        <f aca="false">IF($B44="","",IFERROR(INDEX('Liste des ingrédients'!$G$5:$G$98,MATCH($B44,'Liste des ingrédients'!$B$5:$B$98,0)),"?"))</f>
        <v>L</v>
      </c>
      <c r="G44" s="27" t="n">
        <f aca="false">IF(OR($B44="",$C44=""),0,IFERROR($C44*E44/IF(OR(F44="kg",F44="L"),1000,1),0))</f>
        <v>2.4</v>
      </c>
      <c r="H44" s="25" t="str">
        <f aca="false">IF(AND($A44&lt;&gt;"",$A44='Fiche plat'!$C$3),COUNTIF($A$5:$A44,'Fiche plat'!$C$3),"")</f>
        <v/>
      </c>
      <c r="I44" s="0" t="str">
        <f aca="false">IF($A44="","",IFERROR(INDEX(Plats!$D$5:$D$48,MATCH($A44,Plats!$I$5:$I$48,0)),""))</f>
        <v>Oui</v>
      </c>
    </row>
    <row r="45" customFormat="false" ht="15" hidden="false" customHeight="false" outlineLevel="0" collapsed="false">
      <c r="A45" s="25" t="s">
        <v>113</v>
      </c>
      <c r="B45" s="25" t="s">
        <v>102</v>
      </c>
      <c r="C45" s="34" t="n">
        <v>6</v>
      </c>
      <c r="D45" s="25" t="str">
        <f aca="false">IF($B45="","",IF(F45="kg","g",IF(F45="L","ml",F45)))</f>
        <v>g</v>
      </c>
      <c r="E45" s="27" t="n">
        <f aca="false">IF($B45="","",IFERROR(INDEX('Liste des ingrédients'!$H$5:$H$98,MATCH($B45,'Liste des ingrédients'!$B$5:$B$98,0)),0))</f>
        <v>0.8</v>
      </c>
      <c r="F45" s="25" t="str">
        <f aca="false">IF($B45="","",IFERROR(INDEX('Liste des ingrédients'!$G$5:$G$98,MATCH($B45,'Liste des ingrédients'!$B$5:$B$98,0)),"?"))</f>
        <v>kg</v>
      </c>
      <c r="G45" s="27" t="n">
        <f aca="false">IF(OR($B45="",$C45=""),0,IFERROR($C45*E45/IF(OR(F45="kg",F45="L"),1000,1),0))</f>
        <v>0.0048</v>
      </c>
      <c r="H45" s="25" t="str">
        <f aca="false">IF(AND($A45&lt;&gt;"",$A45='Fiche plat'!$C$3),COUNTIF($A$5:$A45,'Fiche plat'!$C$3),"")</f>
        <v/>
      </c>
      <c r="I45" s="0" t="str">
        <f aca="false">IF($A45="","",IFERROR(INDEX(Plats!$D$5:$D$48,MATCH($A45,Plats!$I$5:$I$48,0)),""))</f>
        <v>Oui</v>
      </c>
    </row>
    <row r="46" customFormat="false" ht="15" hidden="false" customHeight="false" outlineLevel="0" collapsed="false">
      <c r="A46" s="25" t="s">
        <v>113</v>
      </c>
      <c r="B46" s="25" t="s">
        <v>103</v>
      </c>
      <c r="C46" s="34" t="n">
        <v>1</v>
      </c>
      <c r="D46" s="25" t="str">
        <f aca="false">IF($B46="","",IF(F46="kg","g",IF(F46="L","ml",F46)))</f>
        <v>g</v>
      </c>
      <c r="E46" s="27" t="n">
        <f aca="false">IF($B46="","",IFERROR(INDEX('Liste des ingrédients'!$H$5:$H$98,MATCH($B46,'Liste des ingrédients'!$B$5:$B$98,0)),0))</f>
        <v>50</v>
      </c>
      <c r="F46" s="25" t="str">
        <f aca="false">IF($B46="","",IFERROR(INDEX('Liste des ingrédients'!$G$5:$G$98,MATCH($B46,'Liste des ingrédients'!$B$5:$B$98,0)),"?"))</f>
        <v>kg</v>
      </c>
      <c r="G46" s="27" t="n">
        <f aca="false">IF(OR($B46="",$C46=""),0,IFERROR($C46*E46/IF(OR(F46="kg",F46="L"),1000,1),0))</f>
        <v>0.05</v>
      </c>
      <c r="H46" s="25" t="str">
        <f aca="false">IF(AND($A46&lt;&gt;"",$A46='Fiche plat'!$C$3),COUNTIF($A$5:$A46,'Fiche plat'!$C$3),"")</f>
        <v/>
      </c>
      <c r="I46" s="0" t="str">
        <f aca="false">IF($A46="","",IFERROR(INDEX(Plats!$D$5:$D$48,MATCH($A46,Plats!$I$5:$I$48,0)),""))</f>
        <v>Oui</v>
      </c>
    </row>
    <row r="47" customFormat="false" ht="15" hidden="false" customHeight="false" outlineLevel="0" collapsed="false">
      <c r="A47" s="22" t="s">
        <v>119</v>
      </c>
      <c r="B47" s="22" t="s">
        <v>120</v>
      </c>
      <c r="C47" s="35" t="n">
        <v>150</v>
      </c>
      <c r="D47" s="22" t="str">
        <f aca="false">IF($B47="","",IF(F47="kg","g",IF(F47="L","ml",F47)))</f>
        <v>g</v>
      </c>
      <c r="E47" s="24" t="n">
        <f aca="false">IF($B47="","",IFERROR(INDEX('Liste des ingrédients'!$H$5:$H$98,MATCH($B47,'Liste des ingrédients'!$B$5:$B$98,0)),0))</f>
        <v>10</v>
      </c>
      <c r="F47" s="22" t="str">
        <f aca="false">IF($B47="","",IFERROR(INDEX('Liste des ingrédients'!$G$5:$G$98,MATCH($B47,'Liste des ingrédients'!$B$5:$B$98,0)),"?"))</f>
        <v>kg</v>
      </c>
      <c r="G47" s="24" t="n">
        <f aca="false">IF(OR($B47="",$C47=""),0,IFERROR($C47*E47/IF(OR(F47="kg",F47="L"),1000,1),0))</f>
        <v>1.5</v>
      </c>
      <c r="H47" s="22" t="str">
        <f aca="false">IF(AND($A47&lt;&gt;"",$A47='Fiche plat'!$C$3),COUNTIF($A$5:$A47,'Fiche plat'!$C$3),"")</f>
        <v/>
      </c>
      <c r="I47" s="0" t="str">
        <f aca="false">IF($A47="","",IFERROR(INDEX(Plats!$D$5:$D$48,MATCH($A47,Plats!$I$5:$I$48,0)),""))</f>
        <v>Oui</v>
      </c>
    </row>
    <row r="48" customFormat="false" ht="15" hidden="false" customHeight="false" outlineLevel="0" collapsed="false">
      <c r="A48" s="22" t="s">
        <v>119</v>
      </c>
      <c r="B48" s="22" t="s">
        <v>121</v>
      </c>
      <c r="C48" s="35" t="n">
        <v>400</v>
      </c>
      <c r="D48" s="22" t="str">
        <f aca="false">IF($B48="","",IF(F48="kg","g",IF(F48="L","ml",F48)))</f>
        <v>g</v>
      </c>
      <c r="E48" s="24" t="n">
        <f aca="false">IF($B48="","",IFERROR(INDEX('Liste des ingrédients'!$H$5:$H$98,MATCH($B48,'Liste des ingrédients'!$B$5:$B$98,0)),0))</f>
        <v>60</v>
      </c>
      <c r="F48" s="22" t="str">
        <f aca="false">IF($B48="","",IFERROR(INDEX('Liste des ingrédients'!$G$5:$G$98,MATCH($B48,'Liste des ingrédients'!$B$5:$B$98,0)),"?"))</f>
        <v>kg</v>
      </c>
      <c r="G48" s="24" t="n">
        <f aca="false">IF(OR($B48="",$C48=""),0,IFERROR($C48*E48/IF(OR(F48="kg",F48="L"),1000,1),0))</f>
        <v>24</v>
      </c>
      <c r="H48" s="22" t="str">
        <f aca="false">IF(AND($A48&lt;&gt;"",$A48='Fiche plat'!$C$3),COUNTIF($A$5:$A48,'Fiche plat'!$C$3),"")</f>
        <v/>
      </c>
      <c r="I48" s="0" t="str">
        <f aca="false">IF($A48="","",IFERROR(INDEX(Plats!$D$5:$D$48,MATCH($A48,Plats!$I$5:$I$48,0)),""))</f>
        <v>Oui</v>
      </c>
    </row>
    <row r="49" customFormat="false" ht="15" hidden="false" customHeight="false" outlineLevel="0" collapsed="false">
      <c r="A49" s="22" t="s">
        <v>119</v>
      </c>
      <c r="B49" s="22" t="s">
        <v>122</v>
      </c>
      <c r="C49" s="35" t="n">
        <v>50</v>
      </c>
      <c r="D49" s="22" t="str">
        <f aca="false">IF($B49="","",IF(F49="kg","g",IF(F49="L","ml",F49)))</f>
        <v>g</v>
      </c>
      <c r="E49" s="24" t="n">
        <f aca="false">IF($B49="","",IFERROR(INDEX('Liste des ingrédients'!$H$5:$H$98,MATCH($B49,'Liste des ingrédients'!$B$5:$B$98,0)),0))</f>
        <v>6</v>
      </c>
      <c r="F49" s="22" t="str">
        <f aca="false">IF($B49="","",IFERROR(INDEX('Liste des ingrédients'!$G$5:$G$98,MATCH($B49,'Liste des ingrédients'!$B$5:$B$98,0)),"?"))</f>
        <v>kg</v>
      </c>
      <c r="G49" s="24" t="n">
        <f aca="false">IF(OR($B49="",$C49=""),0,IFERROR($C49*E49/IF(OR(F49="kg",F49="L"),1000,1),0))</f>
        <v>0.3</v>
      </c>
      <c r="H49" s="22" t="str">
        <f aca="false">IF(AND($A49&lt;&gt;"",$A49='Fiche plat'!$C$3),COUNTIF($A$5:$A49,'Fiche plat'!$C$3),"")</f>
        <v/>
      </c>
      <c r="I49" s="0" t="str">
        <f aca="false">IF($A49="","",IFERROR(INDEX(Plats!$D$5:$D$48,MATCH($A49,Plats!$I$5:$I$48,0)),""))</f>
        <v>Oui</v>
      </c>
    </row>
    <row r="50" customFormat="false" ht="15" hidden="false" customHeight="false" outlineLevel="0" collapsed="false">
      <c r="A50" s="22" t="s">
        <v>119</v>
      </c>
      <c r="B50" s="22" t="s">
        <v>93</v>
      </c>
      <c r="C50" s="35" t="n">
        <v>100</v>
      </c>
      <c r="D50" s="22" t="str">
        <f aca="false">IF($B50="","",IF(F50="kg","g",IF(F50="L","ml",F50)))</f>
        <v>g</v>
      </c>
      <c r="E50" s="24" t="n">
        <f aca="false">IF($B50="","",IFERROR(INDEX('Liste des ingrédients'!$H$5:$H$98,MATCH($B50,'Liste des ingrédients'!$B$5:$B$98,0)),0))</f>
        <v>1.2</v>
      </c>
      <c r="F50" s="22" t="str">
        <f aca="false">IF($B50="","",IFERROR(INDEX('Liste des ingrédients'!$G$5:$G$98,MATCH($B50,'Liste des ingrédients'!$B$5:$B$98,0)),"?"))</f>
        <v>kg</v>
      </c>
      <c r="G50" s="24" t="n">
        <f aca="false">IF(OR($B50="",$C50=""),0,IFERROR($C50*E50/IF(OR(F50="kg",F50="L"),1000,1),0))</f>
        <v>0.12</v>
      </c>
      <c r="H50" s="22" t="str">
        <f aca="false">IF(AND($A50&lt;&gt;"",$A50='Fiche plat'!$C$3),COUNTIF($A$5:$A50,'Fiche plat'!$C$3),"")</f>
        <v/>
      </c>
      <c r="I50" s="0" t="str">
        <f aca="false">IF($A50="","",IFERROR(INDEX(Plats!$D$5:$D$48,MATCH($A50,Plats!$I$5:$I$48,0)),""))</f>
        <v>Oui</v>
      </c>
    </row>
    <row r="51" customFormat="false" ht="15" hidden="false" customHeight="false" outlineLevel="0" collapsed="false">
      <c r="A51" s="22" t="s">
        <v>119</v>
      </c>
      <c r="B51" s="22" t="s">
        <v>123</v>
      </c>
      <c r="C51" s="35" t="n">
        <v>0.25</v>
      </c>
      <c r="D51" s="22" t="str">
        <f aca="false">IF($B51="","",IF(F51="kg","g",IF(F51="L","ml",F51)))</f>
        <v>botte</v>
      </c>
      <c r="E51" s="24" t="n">
        <f aca="false">IF($B51="","",IFERROR(INDEX('Liste des ingrédients'!$H$5:$H$98,MATCH($B51,'Liste des ingrédients'!$B$5:$B$98,0)),0))</f>
        <v>1</v>
      </c>
      <c r="F51" s="22" t="str">
        <f aca="false">IF($B51="","",IFERROR(INDEX('Liste des ingrédients'!$G$5:$G$98,MATCH($B51,'Liste des ingrédients'!$B$5:$B$98,0)),"?"))</f>
        <v>botte</v>
      </c>
      <c r="G51" s="24" t="n">
        <f aca="false">IF(OR($B51="",$C51=""),0,IFERROR($C51*E51/IF(OR(F51="kg",F51="L"),1000,1),0))</f>
        <v>0.25</v>
      </c>
      <c r="H51" s="22" t="str">
        <f aca="false">IF(AND($A51&lt;&gt;"",$A51='Fiche plat'!$C$3),COUNTIF($A$5:$A51,'Fiche plat'!$C$3),"")</f>
        <v/>
      </c>
      <c r="I51" s="0" t="str">
        <f aca="false">IF($A51="","",IFERROR(INDEX(Plats!$D$5:$D$48,MATCH($A51,Plats!$I$5:$I$48,0)),""))</f>
        <v>Oui</v>
      </c>
    </row>
    <row r="52" customFormat="false" ht="15" hidden="false" customHeight="false" outlineLevel="0" collapsed="false">
      <c r="A52" s="22" t="s">
        <v>119</v>
      </c>
      <c r="B52" s="22" t="s">
        <v>116</v>
      </c>
      <c r="C52" s="35" t="n">
        <v>0.25</v>
      </c>
      <c r="D52" s="22" t="str">
        <f aca="false">IF($B52="","",IF(F52="kg","g",IF(F52="L","ml",F52)))</f>
        <v>botte</v>
      </c>
      <c r="E52" s="24" t="n">
        <f aca="false">IF($B52="","",IFERROR(INDEX('Liste des ingrédients'!$H$5:$H$98,MATCH($B52,'Liste des ingrédients'!$B$5:$B$98,0)),0))</f>
        <v>0.8</v>
      </c>
      <c r="F52" s="22" t="str">
        <f aca="false">IF($B52="","",IFERROR(INDEX('Liste des ingrédients'!$G$5:$G$98,MATCH($B52,'Liste des ingrédients'!$B$5:$B$98,0)),"?"))</f>
        <v>botte</v>
      </c>
      <c r="G52" s="24" t="n">
        <f aca="false">IF(OR($B52="",$C52=""),0,IFERROR($C52*E52/IF(OR(F52="kg",F52="L"),1000,1),0))</f>
        <v>0.2</v>
      </c>
      <c r="H52" s="22" t="str">
        <f aca="false">IF(AND($A52&lt;&gt;"",$A52='Fiche plat'!$C$3),COUNTIF($A$5:$A52,'Fiche plat'!$C$3),"")</f>
        <v/>
      </c>
      <c r="I52" s="0" t="str">
        <f aca="false">IF($A52="","",IFERROR(INDEX(Plats!$D$5:$D$48,MATCH($A52,Plats!$I$5:$I$48,0)),""))</f>
        <v>Oui</v>
      </c>
    </row>
    <row r="53" customFormat="false" ht="15" hidden="false" customHeight="false" outlineLevel="0" collapsed="false">
      <c r="A53" s="22" t="s">
        <v>119</v>
      </c>
      <c r="B53" s="22" t="s">
        <v>97</v>
      </c>
      <c r="C53" s="35" t="n">
        <v>10</v>
      </c>
      <c r="D53" s="22" t="str">
        <f aca="false">IF($B53="","",IF(F53="kg","g",IF(F53="L","ml",F53)))</f>
        <v>g</v>
      </c>
      <c r="E53" s="24" t="n">
        <f aca="false">IF($B53="","",IFERROR(INDEX('Liste des ingrédients'!$H$5:$H$98,MATCH($B53,'Liste des ingrédients'!$B$5:$B$98,0)),0))</f>
        <v>15</v>
      </c>
      <c r="F53" s="22" t="str">
        <f aca="false">IF($B53="","",IFERROR(INDEX('Liste des ingrédients'!$G$5:$G$98,MATCH($B53,'Liste des ingrédients'!$B$5:$B$98,0)),"?"))</f>
        <v>kg</v>
      </c>
      <c r="G53" s="24" t="n">
        <f aca="false">IF(OR($B53="",$C53=""),0,IFERROR($C53*E53/IF(OR(F53="kg",F53="L"),1000,1),0))</f>
        <v>0.15</v>
      </c>
      <c r="H53" s="22" t="str">
        <f aca="false">IF(AND($A53&lt;&gt;"",$A53='Fiche plat'!$C$3),COUNTIF($A$5:$A53,'Fiche plat'!$C$3),"")</f>
        <v/>
      </c>
      <c r="I53" s="0" t="str">
        <f aca="false">IF($A53="","",IFERROR(INDEX(Plats!$D$5:$D$48,MATCH($A53,Plats!$I$5:$I$48,0)),""))</f>
        <v>Oui</v>
      </c>
    </row>
    <row r="54" customFormat="false" ht="15" hidden="false" customHeight="false" outlineLevel="0" collapsed="false">
      <c r="A54" s="22" t="s">
        <v>119</v>
      </c>
      <c r="B54" s="22" t="s">
        <v>95</v>
      </c>
      <c r="C54" s="35" t="n">
        <v>40</v>
      </c>
      <c r="D54" s="22" t="str">
        <f aca="false">IF($B54="","",IF(F54="kg","g",IF(F54="L","ml",F54)))</f>
        <v>g</v>
      </c>
      <c r="E54" s="24" t="n">
        <f aca="false">IF($B54="","",IFERROR(INDEX('Liste des ingrédients'!$H$5:$H$98,MATCH($B54,'Liste des ingrédients'!$B$5:$B$98,0)),0))</f>
        <v>9</v>
      </c>
      <c r="F54" s="22" t="str">
        <f aca="false">IF($B54="","",IFERROR(INDEX('Liste des ingrédients'!$G$5:$G$98,MATCH($B54,'Liste des ingrédients'!$B$5:$B$98,0)),"?"))</f>
        <v>kg</v>
      </c>
      <c r="G54" s="24" t="n">
        <f aca="false">IF(OR($B54="",$C54=""),0,IFERROR($C54*E54/IF(OR(F54="kg",F54="L"),1000,1),0))</f>
        <v>0.36</v>
      </c>
      <c r="H54" s="22" t="str">
        <f aca="false">IF(AND($A54&lt;&gt;"",$A54='Fiche plat'!$C$3),COUNTIF($A$5:$A54,'Fiche plat'!$C$3),"")</f>
        <v/>
      </c>
      <c r="I54" s="0" t="str">
        <f aca="false">IF($A54="","",IFERROR(INDEX(Plats!$D$5:$D$48,MATCH($A54,Plats!$I$5:$I$48,0)),""))</f>
        <v>Oui</v>
      </c>
    </row>
    <row r="55" customFormat="false" ht="15" hidden="false" customHeight="false" outlineLevel="0" collapsed="false">
      <c r="A55" s="22" t="s">
        <v>119</v>
      </c>
      <c r="B55" s="22" t="s">
        <v>117</v>
      </c>
      <c r="C55" s="35" t="n">
        <v>2.5</v>
      </c>
      <c r="D55" s="22" t="str">
        <f aca="false">IF($B55="","",IF(F55="kg","g",IF(F55="L","ml",F55)))</f>
        <v>g</v>
      </c>
      <c r="E55" s="24" t="n">
        <f aca="false">IF($B55="","",IFERROR(INDEX('Liste des ingrédients'!$H$5:$H$98,MATCH($B55,'Liste des ingrédients'!$B$5:$B$98,0)),0))</f>
        <v>33</v>
      </c>
      <c r="F55" s="22" t="str">
        <f aca="false">IF($B55="","",IFERROR(INDEX('Liste des ingrédients'!$G$5:$G$98,MATCH($B55,'Liste des ingrédients'!$B$5:$B$98,0)),"?"))</f>
        <v>kg</v>
      </c>
      <c r="G55" s="24" t="n">
        <f aca="false">IF(OR($B55="",$C55=""),0,IFERROR($C55*E55/IF(OR(F55="kg",F55="L"),1000,1),0))</f>
        <v>0.0825</v>
      </c>
      <c r="H55" s="22" t="str">
        <f aca="false">IF(AND($A55&lt;&gt;"",$A55='Fiche plat'!$C$3),COUNTIF($A$5:$A55,'Fiche plat'!$C$3),"")</f>
        <v/>
      </c>
      <c r="I55" s="0" t="str">
        <f aca="false">IF($A55="","",IFERROR(INDEX(Plats!$D$5:$D$48,MATCH($A55,Plats!$I$5:$I$48,0)),""))</f>
        <v>Oui</v>
      </c>
    </row>
    <row r="56" customFormat="false" ht="15" hidden="false" customHeight="false" outlineLevel="0" collapsed="false">
      <c r="A56" s="22" t="s">
        <v>119</v>
      </c>
      <c r="B56" s="22" t="s">
        <v>99</v>
      </c>
      <c r="C56" s="35" t="n">
        <v>1</v>
      </c>
      <c r="D56" s="22" t="str">
        <f aca="false">IF($B56="","",IF(F56="kg","g",IF(F56="L","ml",F56)))</f>
        <v>g</v>
      </c>
      <c r="E56" s="24" t="n">
        <f aca="false">IF($B56="","",IFERROR(INDEX('Liste des ingrédients'!$H$5:$H$98,MATCH($B56,'Liste des ingrédients'!$B$5:$B$98,0)),0))</f>
        <v>40</v>
      </c>
      <c r="F56" s="22" t="str">
        <f aca="false">IF($B56="","",IFERROR(INDEX('Liste des ingrédients'!$G$5:$G$98,MATCH($B56,'Liste des ingrédients'!$B$5:$B$98,0)),"?"))</f>
        <v>kg</v>
      </c>
      <c r="G56" s="24" t="n">
        <f aca="false">IF(OR($B56="",$C56=""),0,IFERROR($C56*E56/IF(OR(F56="kg",F56="L"),1000,1),0))</f>
        <v>0.04</v>
      </c>
      <c r="H56" s="22" t="str">
        <f aca="false">IF(AND($A56&lt;&gt;"",$A56='Fiche plat'!$C$3),COUNTIF($A$5:$A56,'Fiche plat'!$C$3),"")</f>
        <v/>
      </c>
      <c r="I56" s="0" t="str">
        <f aca="false">IF($A56="","",IFERROR(INDEX(Plats!$D$5:$D$48,MATCH($A56,Plats!$I$5:$I$48,0)),""))</f>
        <v>Oui</v>
      </c>
    </row>
    <row r="57" customFormat="false" ht="15" hidden="false" customHeight="false" outlineLevel="0" collapsed="false">
      <c r="A57" s="22" t="s">
        <v>119</v>
      </c>
      <c r="B57" s="22" t="s">
        <v>98</v>
      </c>
      <c r="C57" s="35" t="n">
        <v>1.5</v>
      </c>
      <c r="D57" s="22" t="str">
        <f aca="false">IF($B57="","",IF(F57="kg","g",IF(F57="L","ml",F57)))</f>
        <v>g</v>
      </c>
      <c r="E57" s="24" t="n">
        <f aca="false">IF($B57="","",IFERROR(INDEX('Liste des ingrédients'!$H$5:$H$98,MATCH($B57,'Liste des ingrédients'!$B$5:$B$98,0)),0))</f>
        <v>40</v>
      </c>
      <c r="F57" s="22" t="str">
        <f aca="false">IF($B57="","",IFERROR(INDEX('Liste des ingrédients'!$G$5:$G$98,MATCH($B57,'Liste des ingrédients'!$B$5:$B$98,0)),"?"))</f>
        <v>kg</v>
      </c>
      <c r="G57" s="24" t="n">
        <f aca="false">IF(OR($B57="",$C57=""),0,IFERROR($C57*E57/IF(OR(F57="kg",F57="L"),1000,1),0))</f>
        <v>0.06</v>
      </c>
      <c r="H57" s="22" t="str">
        <f aca="false">IF(AND($A57&lt;&gt;"",$A57='Fiche plat'!$C$3),COUNTIF($A$5:$A57,'Fiche plat'!$C$3),"")</f>
        <v/>
      </c>
      <c r="I57" s="0" t="str">
        <f aca="false">IF($A57="","",IFERROR(INDEX(Plats!$D$5:$D$48,MATCH($A57,Plats!$I$5:$I$48,0)),""))</f>
        <v>Oui</v>
      </c>
    </row>
    <row r="58" customFormat="false" ht="15" hidden="false" customHeight="false" outlineLevel="0" collapsed="false">
      <c r="A58" s="22" t="s">
        <v>119</v>
      </c>
      <c r="B58" s="22" t="s">
        <v>124</v>
      </c>
      <c r="C58" s="35" t="n">
        <v>2.5</v>
      </c>
      <c r="D58" s="22" t="str">
        <f aca="false">IF($B58="","",IF(F58="kg","g",IF(F58="L","ml",F58)))</f>
        <v>g</v>
      </c>
      <c r="E58" s="24" t="n">
        <f aca="false">IF($B58="","",IFERROR(INDEX('Liste des ingrédients'!$H$5:$H$98,MATCH($B58,'Liste des ingrédients'!$B$5:$B$98,0)),0))</f>
        <v>40</v>
      </c>
      <c r="F58" s="22" t="str">
        <f aca="false">IF($B58="","",IFERROR(INDEX('Liste des ingrédients'!$G$5:$G$98,MATCH($B58,'Liste des ingrédients'!$B$5:$B$98,0)),"?"))</f>
        <v>kg</v>
      </c>
      <c r="G58" s="24" t="n">
        <f aca="false">IF(OR($B58="",$C58=""),0,IFERROR($C58*E58/IF(OR(F58="kg",F58="L"),1000,1),0))</f>
        <v>0.1</v>
      </c>
      <c r="H58" s="22" t="str">
        <f aca="false">IF(AND($A58&lt;&gt;"",$A58='Fiche plat'!$C$3),COUNTIF($A$5:$A58,'Fiche plat'!$C$3),"")</f>
        <v/>
      </c>
      <c r="I58" s="0" t="str">
        <f aca="false">IF($A58="","",IFERROR(INDEX(Plats!$D$5:$D$48,MATCH($A58,Plats!$I$5:$I$48,0)),""))</f>
        <v>Oui</v>
      </c>
    </row>
    <row r="59" customFormat="false" ht="15" hidden="false" customHeight="false" outlineLevel="0" collapsed="false">
      <c r="A59" s="22" t="s">
        <v>119</v>
      </c>
      <c r="B59" s="22" t="s">
        <v>125</v>
      </c>
      <c r="C59" s="35" t="n">
        <v>1</v>
      </c>
      <c r="D59" s="22" t="str">
        <f aca="false">IF($B59="","",IF(F59="kg","g",IF(F59="L","ml",F59)))</f>
        <v>g</v>
      </c>
      <c r="E59" s="24" t="n">
        <f aca="false">IF($B59="","",IFERROR(INDEX('Liste des ingrédients'!$H$5:$H$98,MATCH($B59,'Liste des ingrédients'!$B$5:$B$98,0)),0))</f>
        <v>50</v>
      </c>
      <c r="F59" s="22" t="str">
        <f aca="false">IF($B59="","",IFERROR(INDEX('Liste des ingrédients'!$G$5:$G$98,MATCH($B59,'Liste des ingrédients'!$B$5:$B$98,0)),"?"))</f>
        <v>kg</v>
      </c>
      <c r="G59" s="24" t="n">
        <f aca="false">IF(OR($B59="",$C59=""),0,IFERROR($C59*E59/IF(OR(F59="kg",F59="L"),1000,1),0))</f>
        <v>0.05</v>
      </c>
      <c r="H59" s="22" t="str">
        <f aca="false">IF(AND($A59&lt;&gt;"",$A59='Fiche plat'!$C$3),COUNTIF($A$5:$A59,'Fiche plat'!$C$3),"")</f>
        <v/>
      </c>
      <c r="I59" s="0" t="str">
        <f aca="false">IF($A59="","",IFERROR(INDEX(Plats!$D$5:$D$48,MATCH($A59,Plats!$I$5:$I$48,0)),""))</f>
        <v>Oui</v>
      </c>
    </row>
    <row r="60" customFormat="false" ht="15" hidden="false" customHeight="false" outlineLevel="0" collapsed="false">
      <c r="A60" s="22" t="s">
        <v>119</v>
      </c>
      <c r="B60" s="22" t="s">
        <v>101</v>
      </c>
      <c r="C60" s="35" t="n">
        <v>60</v>
      </c>
      <c r="D60" s="22" t="str">
        <f aca="false">IF($B60="","",IF(F60="kg","g",IF(F60="L","ml",F60)))</f>
        <v>ml</v>
      </c>
      <c r="E60" s="24" t="n">
        <f aca="false">IF($B60="","",IFERROR(INDEX('Liste des ingrédients'!$H$5:$H$98,MATCH($B60,'Liste des ingrédients'!$B$5:$B$98,0)),0))</f>
        <v>12.5</v>
      </c>
      <c r="F60" s="22" t="str">
        <f aca="false">IF($B60="","",IFERROR(INDEX('Liste des ingrédients'!$G$5:$G$98,MATCH($B60,'Liste des ingrédients'!$B$5:$B$98,0)),"?"))</f>
        <v>L</v>
      </c>
      <c r="G60" s="24" t="n">
        <f aca="false">IF(OR($B60="",$C60=""),0,IFERROR($C60*E60/IF(OR(F60="kg",F60="L"),1000,1),0))</f>
        <v>0.75</v>
      </c>
      <c r="H60" s="22" t="str">
        <f aca="false">IF(AND($A60&lt;&gt;"",$A60='Fiche plat'!$C$3),COUNTIF($A$5:$A60,'Fiche plat'!$C$3),"")</f>
        <v/>
      </c>
      <c r="I60" s="0" t="str">
        <f aca="false">IF($A60="","",IFERROR(INDEX(Plats!$D$5:$D$48,MATCH($A60,Plats!$I$5:$I$48,0)),""))</f>
        <v>Oui</v>
      </c>
    </row>
    <row r="61" customFormat="false" ht="15" hidden="false" customHeight="false" outlineLevel="0" collapsed="false">
      <c r="A61" s="22" t="s">
        <v>119</v>
      </c>
      <c r="B61" s="22" t="s">
        <v>102</v>
      </c>
      <c r="C61" s="35" t="n">
        <v>9</v>
      </c>
      <c r="D61" s="22" t="str">
        <f aca="false">IF($B61="","",IF(F61="kg","g",IF(F61="L","ml",F61)))</f>
        <v>g</v>
      </c>
      <c r="E61" s="24" t="n">
        <f aca="false">IF($B61="","",IFERROR(INDEX('Liste des ingrédients'!$H$5:$H$98,MATCH($B61,'Liste des ingrédients'!$B$5:$B$98,0)),0))</f>
        <v>0.8</v>
      </c>
      <c r="F61" s="22" t="str">
        <f aca="false">IF($B61="","",IFERROR(INDEX('Liste des ingrédients'!$G$5:$G$98,MATCH($B61,'Liste des ingrédients'!$B$5:$B$98,0)),"?"))</f>
        <v>kg</v>
      </c>
      <c r="G61" s="24" t="n">
        <f aca="false">IF(OR($B61="",$C61=""),0,IFERROR($C61*E61/IF(OR(F61="kg",F61="L"),1000,1),0))</f>
        <v>0.0072</v>
      </c>
      <c r="H61" s="22" t="str">
        <f aca="false">IF(AND($A61&lt;&gt;"",$A61='Fiche plat'!$C$3),COUNTIF($A$5:$A61,'Fiche plat'!$C$3),"")</f>
        <v/>
      </c>
      <c r="I61" s="0" t="str">
        <f aca="false">IF($A61="","",IFERROR(INDEX(Plats!$D$5:$D$48,MATCH($A61,Plats!$I$5:$I$48,0)),""))</f>
        <v>Oui</v>
      </c>
    </row>
    <row r="62" customFormat="false" ht="15" hidden="false" customHeight="false" outlineLevel="0" collapsed="false">
      <c r="A62" s="22" t="s">
        <v>119</v>
      </c>
      <c r="B62" s="22" t="s">
        <v>103</v>
      </c>
      <c r="C62" s="35" t="n">
        <v>1</v>
      </c>
      <c r="D62" s="22" t="str">
        <f aca="false">IF($B62="","",IF(F62="kg","g",IF(F62="L","ml",F62)))</f>
        <v>g</v>
      </c>
      <c r="E62" s="24" t="n">
        <f aca="false">IF($B62="","",IFERROR(INDEX('Liste des ingrédients'!$H$5:$H$98,MATCH($B62,'Liste des ingrédients'!$B$5:$B$98,0)),0))</f>
        <v>50</v>
      </c>
      <c r="F62" s="22" t="str">
        <f aca="false">IF($B62="","",IFERROR(INDEX('Liste des ingrédients'!$G$5:$G$98,MATCH($B62,'Liste des ingrédients'!$B$5:$B$98,0)),"?"))</f>
        <v>kg</v>
      </c>
      <c r="G62" s="24" t="n">
        <f aca="false">IF(OR($B62="",$C62=""),0,IFERROR($C62*E62/IF(OR(F62="kg",F62="L"),1000,1),0))</f>
        <v>0.05</v>
      </c>
      <c r="H62" s="22" t="str">
        <f aca="false">IF(AND($A62&lt;&gt;"",$A62='Fiche plat'!$C$3),COUNTIF($A$5:$A62,'Fiche plat'!$C$3),"")</f>
        <v/>
      </c>
      <c r="I62" s="0" t="str">
        <f aca="false">IF($A62="","",IFERROR(INDEX(Plats!$D$5:$D$48,MATCH($A62,Plats!$I$5:$I$48,0)),""))</f>
        <v>Oui</v>
      </c>
    </row>
    <row r="63" customFormat="false" ht="15" hidden="false" customHeight="false" outlineLevel="0" collapsed="false">
      <c r="A63" s="22" t="s">
        <v>119</v>
      </c>
      <c r="B63" s="22" t="s">
        <v>104</v>
      </c>
      <c r="C63" s="35" t="n">
        <v>200</v>
      </c>
      <c r="D63" s="22" t="str">
        <f aca="false">IF($B63="","",IF(F63="kg","g",IF(F63="L","ml",F63)))</f>
        <v>g</v>
      </c>
      <c r="E63" s="24" t="n">
        <f aca="false">IF($B63="","",IFERROR(INDEX('Liste des ingrédients'!$H$5:$H$98,MATCH($B63,'Liste des ingrédients'!$B$5:$B$98,0)),0))</f>
        <v>3</v>
      </c>
      <c r="F63" s="22" t="str">
        <f aca="false">IF($B63="","",IFERROR(INDEX('Liste des ingrédients'!$G$5:$G$98,MATCH($B63,'Liste des ingrédients'!$B$5:$B$98,0)),"?"))</f>
        <v>kg</v>
      </c>
      <c r="G63" s="24" t="n">
        <f aca="false">IF(OR($B63="",$C63=""),0,IFERROR($C63*E63/IF(OR(F63="kg",F63="L"),1000,1),0))</f>
        <v>0.6</v>
      </c>
      <c r="H63" s="22" t="str">
        <f aca="false">IF(AND($A63&lt;&gt;"",$A63='Fiche plat'!$C$3),COUNTIF($A$5:$A63,'Fiche plat'!$C$3),"")</f>
        <v/>
      </c>
      <c r="I63" s="0" t="str">
        <f aca="false">IF($A63="","",IFERROR(INDEX(Plats!$D$5:$D$48,MATCH($A63,Plats!$I$5:$I$48,0)),""))</f>
        <v>Oui</v>
      </c>
    </row>
    <row r="64" customFormat="false" ht="15" hidden="false" customHeight="false" outlineLevel="0" collapsed="false">
      <c r="A64" s="25" t="s">
        <v>126</v>
      </c>
      <c r="B64" s="25" t="s">
        <v>127</v>
      </c>
      <c r="C64" s="34" t="n">
        <v>1000</v>
      </c>
      <c r="D64" s="25" t="str">
        <f aca="false">IF($B64="","",IF(F64="kg","g",IF(F64="L","ml",F64)))</f>
        <v>g</v>
      </c>
      <c r="E64" s="27" t="n">
        <f aca="false">IF($B64="","",IFERROR(INDEX('Liste des ingrédients'!$H$5:$H$98,MATCH($B64,'Liste des ingrédients'!$B$5:$B$98,0)),0))</f>
        <v>14.9</v>
      </c>
      <c r="F64" s="25" t="str">
        <f aca="false">IF($B64="","",IFERROR(INDEX('Liste des ingrédients'!$G$5:$G$98,MATCH($B64,'Liste des ingrédients'!$B$5:$B$98,0)),"?"))</f>
        <v>kg</v>
      </c>
      <c r="G64" s="27" t="n">
        <f aca="false">IF(OR($B64="",$C64=""),0,IFERROR($C64*E64/IF(OR(F64="kg",F64="L"),1000,1),0))</f>
        <v>14.9</v>
      </c>
      <c r="H64" s="25" t="str">
        <f aca="false">IF(AND($A64&lt;&gt;"",$A64='Fiche plat'!$C$3),COUNTIF($A$5:$A64,'Fiche plat'!$C$3),"")</f>
        <v/>
      </c>
      <c r="I64" s="0" t="str">
        <f aca="false">IF($A64="","",IFERROR(INDEX(Plats!$D$5:$D$48,MATCH($A64,Plats!$I$5:$I$48,0)),""))</f>
        <v>Oui</v>
      </c>
    </row>
    <row r="65" customFormat="false" ht="15" hidden="false" customHeight="false" outlineLevel="0" collapsed="false">
      <c r="A65" s="25" t="s">
        <v>126</v>
      </c>
      <c r="B65" s="25" t="s">
        <v>128</v>
      </c>
      <c r="C65" s="34" t="n">
        <v>500</v>
      </c>
      <c r="D65" s="25" t="str">
        <f aca="false">IF($B65="","",IF(F65="kg","g",IF(F65="L","ml",F65)))</f>
        <v>g</v>
      </c>
      <c r="E65" s="27" t="n">
        <f aca="false">IF($B65="","",IFERROR(INDEX('Liste des ingrédients'!$H$5:$H$98,MATCH($B65,'Liste des ingrédients'!$B$5:$B$98,0)),0))</f>
        <v>3.4</v>
      </c>
      <c r="F65" s="25" t="str">
        <f aca="false">IF($B65="","",IFERROR(INDEX('Liste des ingrédients'!$G$5:$G$98,MATCH($B65,'Liste des ingrédients'!$B$5:$B$98,0)),"?"))</f>
        <v>kg</v>
      </c>
      <c r="G65" s="27" t="n">
        <f aca="false">IF(OR($B65="",$C65=""),0,IFERROR($C65*E65/IF(OR(F65="kg",F65="L"),1000,1),0))</f>
        <v>1.7</v>
      </c>
      <c r="H65" s="25" t="str">
        <f aca="false">IF(AND($A65&lt;&gt;"",$A65='Fiche plat'!$C$3),COUNTIF($A$5:$A65,'Fiche plat'!$C$3),"")</f>
        <v/>
      </c>
      <c r="I65" s="0" t="str">
        <f aca="false">IF($A65="","",IFERROR(INDEX(Plats!$D$5:$D$48,MATCH($A65,Plats!$I$5:$I$48,0)),""))</f>
        <v>Oui</v>
      </c>
    </row>
    <row r="66" customFormat="false" ht="15" hidden="false" customHeight="false" outlineLevel="0" collapsed="false">
      <c r="A66" s="25" t="s">
        <v>126</v>
      </c>
      <c r="B66" s="25" t="s">
        <v>93</v>
      </c>
      <c r="C66" s="34" t="n">
        <v>200</v>
      </c>
      <c r="D66" s="25" t="str">
        <f aca="false">IF($B66="","",IF(F66="kg","g",IF(F66="L","ml",F66)))</f>
        <v>g</v>
      </c>
      <c r="E66" s="27" t="n">
        <f aca="false">IF($B66="","",IFERROR(INDEX('Liste des ingrédients'!$H$5:$H$98,MATCH($B66,'Liste des ingrédients'!$B$5:$B$98,0)),0))</f>
        <v>1.2</v>
      </c>
      <c r="F66" s="25" t="str">
        <f aca="false">IF($B66="","",IFERROR(INDEX('Liste des ingrédients'!$G$5:$G$98,MATCH($B66,'Liste des ingrédients'!$B$5:$B$98,0)),"?"))</f>
        <v>kg</v>
      </c>
      <c r="G66" s="27" t="n">
        <f aca="false">IF(OR($B66="",$C66=""),0,IFERROR($C66*E66/IF(OR(F66="kg",F66="L"),1000,1),0))</f>
        <v>0.24</v>
      </c>
      <c r="H66" s="25" t="str">
        <f aca="false">IF(AND($A66&lt;&gt;"",$A66='Fiche plat'!$C$3),COUNTIF($A$5:$A66,'Fiche plat'!$C$3),"")</f>
        <v/>
      </c>
      <c r="I66" s="0" t="str">
        <f aca="false">IF($A66="","",IFERROR(INDEX(Plats!$D$5:$D$48,MATCH($A66,Plats!$I$5:$I$48,0)),""))</f>
        <v>Oui</v>
      </c>
    </row>
    <row r="67" customFormat="false" ht="15" hidden="false" customHeight="false" outlineLevel="0" collapsed="false">
      <c r="A67" s="25" t="s">
        <v>126</v>
      </c>
      <c r="B67" s="25" t="s">
        <v>97</v>
      </c>
      <c r="C67" s="34" t="n">
        <v>15</v>
      </c>
      <c r="D67" s="25" t="str">
        <f aca="false">IF($B67="","",IF(F67="kg","g",IF(F67="L","ml",F67)))</f>
        <v>g</v>
      </c>
      <c r="E67" s="27" t="n">
        <f aca="false">IF($B67="","",IFERROR(INDEX('Liste des ingrédients'!$H$5:$H$98,MATCH($B67,'Liste des ingrédients'!$B$5:$B$98,0)),0))</f>
        <v>15</v>
      </c>
      <c r="F67" s="25" t="str">
        <f aca="false">IF($B67="","",IFERROR(INDEX('Liste des ingrédients'!$G$5:$G$98,MATCH($B67,'Liste des ingrédients'!$B$5:$B$98,0)),"?"))</f>
        <v>kg</v>
      </c>
      <c r="G67" s="27" t="n">
        <f aca="false">IF(OR($B67="",$C67=""),0,IFERROR($C67*E67/IF(OR(F67="kg",F67="L"),1000,1),0))</f>
        <v>0.225</v>
      </c>
      <c r="H67" s="25" t="str">
        <f aca="false">IF(AND($A67&lt;&gt;"",$A67='Fiche plat'!$C$3),COUNTIF($A$5:$A67,'Fiche plat'!$C$3),"")</f>
        <v/>
      </c>
      <c r="I67" s="0" t="str">
        <f aca="false">IF($A67="","",IFERROR(INDEX(Plats!$D$5:$D$48,MATCH($A67,Plats!$I$5:$I$48,0)),""))</f>
        <v>Oui</v>
      </c>
    </row>
    <row r="68" customFormat="false" ht="15" hidden="false" customHeight="false" outlineLevel="0" collapsed="false">
      <c r="A68" s="25" t="s">
        <v>126</v>
      </c>
      <c r="B68" s="25" t="s">
        <v>98</v>
      </c>
      <c r="C68" s="34" t="n">
        <v>3</v>
      </c>
      <c r="D68" s="25" t="str">
        <f aca="false">IF($B68="","",IF(F68="kg","g",IF(F68="L","ml",F68)))</f>
        <v>g</v>
      </c>
      <c r="E68" s="27" t="n">
        <f aca="false">IF($B68="","",IFERROR(INDEX('Liste des ingrédients'!$H$5:$H$98,MATCH($B68,'Liste des ingrédients'!$B$5:$B$98,0)),0))</f>
        <v>40</v>
      </c>
      <c r="F68" s="25" t="str">
        <f aca="false">IF($B68="","",IFERROR(INDEX('Liste des ingrédients'!$G$5:$G$98,MATCH($B68,'Liste des ingrédients'!$B$5:$B$98,0)),"?"))</f>
        <v>kg</v>
      </c>
      <c r="G68" s="27" t="n">
        <f aca="false">IF(OR($B68="",$C68=""),0,IFERROR($C68*E68/IF(OR(F68="kg",F68="L"),1000,1),0))</f>
        <v>0.12</v>
      </c>
      <c r="H68" s="25" t="str">
        <f aca="false">IF(AND($A68&lt;&gt;"",$A68='Fiche plat'!$C$3),COUNTIF($A$5:$A68,'Fiche plat'!$C$3),"")</f>
        <v/>
      </c>
      <c r="I68" s="0" t="str">
        <f aca="false">IF($A68="","",IFERROR(INDEX(Plats!$D$5:$D$48,MATCH($A68,Plats!$I$5:$I$48,0)),""))</f>
        <v>Oui</v>
      </c>
    </row>
    <row r="69" customFormat="false" ht="15" hidden="false" customHeight="false" outlineLevel="0" collapsed="false">
      <c r="A69" s="25" t="s">
        <v>126</v>
      </c>
      <c r="B69" s="25" t="s">
        <v>101</v>
      </c>
      <c r="C69" s="34" t="n">
        <v>75</v>
      </c>
      <c r="D69" s="25" t="str">
        <f aca="false">IF($B69="","",IF(F69="kg","g",IF(F69="L","ml",F69)))</f>
        <v>ml</v>
      </c>
      <c r="E69" s="27" t="n">
        <f aca="false">IF($B69="","",IFERROR(INDEX('Liste des ingrédients'!$H$5:$H$98,MATCH($B69,'Liste des ingrédients'!$B$5:$B$98,0)),0))</f>
        <v>12.5</v>
      </c>
      <c r="F69" s="25" t="str">
        <f aca="false">IF($B69="","",IFERROR(INDEX('Liste des ingrédients'!$G$5:$G$98,MATCH($B69,'Liste des ingrédients'!$B$5:$B$98,0)),"?"))</f>
        <v>L</v>
      </c>
      <c r="G69" s="27" t="n">
        <f aca="false">IF(OR($B69="",$C69=""),0,IFERROR($C69*E69/IF(OR(F69="kg",F69="L"),1000,1),0))</f>
        <v>0.9375</v>
      </c>
      <c r="H69" s="25" t="str">
        <f aca="false">IF(AND($A69&lt;&gt;"",$A69='Fiche plat'!$C$3),COUNTIF($A$5:$A69,'Fiche plat'!$C$3),"")</f>
        <v/>
      </c>
      <c r="I69" s="0" t="str">
        <f aca="false">IF($A69="","",IFERROR(INDEX(Plats!$D$5:$D$48,MATCH($A69,Plats!$I$5:$I$48,0)),""))</f>
        <v>Oui</v>
      </c>
    </row>
    <row r="70" customFormat="false" ht="15" hidden="false" customHeight="false" outlineLevel="0" collapsed="false">
      <c r="A70" s="25" t="s">
        <v>126</v>
      </c>
      <c r="B70" s="25" t="s">
        <v>116</v>
      </c>
      <c r="C70" s="34" t="n">
        <v>0.25</v>
      </c>
      <c r="D70" s="25" t="str">
        <f aca="false">IF($B70="","",IF(F70="kg","g",IF(F70="L","ml",F70)))</f>
        <v>botte</v>
      </c>
      <c r="E70" s="27" t="n">
        <f aca="false">IF($B70="","",IFERROR(INDEX('Liste des ingrédients'!$H$5:$H$98,MATCH($B70,'Liste des ingrédients'!$B$5:$B$98,0)),0))</f>
        <v>0.8</v>
      </c>
      <c r="F70" s="25" t="str">
        <f aca="false">IF($B70="","",IFERROR(INDEX('Liste des ingrédients'!$G$5:$G$98,MATCH($B70,'Liste des ingrédients'!$B$5:$B$98,0)),"?"))</f>
        <v>botte</v>
      </c>
      <c r="G70" s="27" t="n">
        <f aca="false">IF(OR($B70="",$C70=""),0,IFERROR($C70*E70/IF(OR(F70="kg",F70="L"),1000,1),0))</f>
        <v>0.2</v>
      </c>
      <c r="H70" s="25" t="str">
        <f aca="false">IF(AND($A70&lt;&gt;"",$A70='Fiche plat'!$C$3),COUNTIF($A$5:$A70,'Fiche plat'!$C$3),"")</f>
        <v/>
      </c>
      <c r="I70" s="0" t="str">
        <f aca="false">IF($A70="","",IFERROR(INDEX(Plats!$D$5:$D$48,MATCH($A70,Plats!$I$5:$I$48,0)),""))</f>
        <v>Oui</v>
      </c>
    </row>
    <row r="71" customFormat="false" ht="15" hidden="false" customHeight="false" outlineLevel="0" collapsed="false">
      <c r="A71" s="25" t="s">
        <v>126</v>
      </c>
      <c r="B71" s="25" t="s">
        <v>102</v>
      </c>
      <c r="C71" s="34" t="n">
        <v>9</v>
      </c>
      <c r="D71" s="25" t="str">
        <f aca="false">IF($B71="","",IF(F71="kg","g",IF(F71="L","ml",F71)))</f>
        <v>g</v>
      </c>
      <c r="E71" s="27" t="n">
        <f aca="false">IF($B71="","",IFERROR(INDEX('Liste des ingrédients'!$H$5:$H$98,MATCH($B71,'Liste des ingrédients'!$B$5:$B$98,0)),0))</f>
        <v>0.8</v>
      </c>
      <c r="F71" s="25" t="str">
        <f aca="false">IF($B71="","",IFERROR(INDEX('Liste des ingrédients'!$G$5:$G$98,MATCH($B71,'Liste des ingrédients'!$B$5:$B$98,0)),"?"))</f>
        <v>kg</v>
      </c>
      <c r="G71" s="27" t="n">
        <f aca="false">IF(OR($B71="",$C71=""),0,IFERROR($C71*E71/IF(OR(F71="kg",F71="L"),1000,1),0))</f>
        <v>0.0072</v>
      </c>
      <c r="H71" s="25" t="str">
        <f aca="false">IF(AND($A71&lt;&gt;"",$A71='Fiche plat'!$C$3),COUNTIF($A$5:$A71,'Fiche plat'!$C$3),"")</f>
        <v/>
      </c>
      <c r="I71" s="0" t="str">
        <f aca="false">IF($A71="","",IFERROR(INDEX(Plats!$D$5:$D$48,MATCH($A71,Plats!$I$5:$I$48,0)),""))</f>
        <v>Oui</v>
      </c>
    </row>
    <row r="72" customFormat="false" ht="15" hidden="false" customHeight="false" outlineLevel="0" collapsed="false">
      <c r="A72" s="25" t="s">
        <v>126</v>
      </c>
      <c r="B72" s="25" t="s">
        <v>103</v>
      </c>
      <c r="C72" s="34" t="n">
        <v>1</v>
      </c>
      <c r="D72" s="25" t="str">
        <f aca="false">IF($B72="","",IF(F72="kg","g",IF(F72="L","ml",F72)))</f>
        <v>g</v>
      </c>
      <c r="E72" s="27" t="n">
        <f aca="false">IF($B72="","",IFERROR(INDEX('Liste des ingrédients'!$H$5:$H$98,MATCH($B72,'Liste des ingrédients'!$B$5:$B$98,0)),0))</f>
        <v>50</v>
      </c>
      <c r="F72" s="25" t="str">
        <f aca="false">IF($B72="","",IFERROR(INDEX('Liste des ingrédients'!$G$5:$G$98,MATCH($B72,'Liste des ingrédients'!$B$5:$B$98,0)),"?"))</f>
        <v>kg</v>
      </c>
      <c r="G72" s="27" t="n">
        <f aca="false">IF(OR($B72="",$C72=""),0,IFERROR($C72*E72/IF(OR(F72="kg",F72="L"),1000,1),0))</f>
        <v>0.05</v>
      </c>
      <c r="H72" s="25" t="str">
        <f aca="false">IF(AND($A72&lt;&gt;"",$A72='Fiche plat'!$C$3),COUNTIF($A$5:$A72,'Fiche plat'!$C$3),"")</f>
        <v/>
      </c>
      <c r="I72" s="0" t="str">
        <f aca="false">IF($A72="","",IFERROR(INDEX(Plats!$D$5:$D$48,MATCH($A72,Plats!$I$5:$I$48,0)),""))</f>
        <v>Oui</v>
      </c>
    </row>
    <row r="73" customFormat="false" ht="15" hidden="false" customHeight="false" outlineLevel="0" collapsed="false">
      <c r="A73" s="22" t="s">
        <v>129</v>
      </c>
      <c r="B73" s="22" t="s">
        <v>130</v>
      </c>
      <c r="C73" s="35" t="n">
        <v>500</v>
      </c>
      <c r="D73" s="22" t="str">
        <f aca="false">IF($B73="","",IF(F73="kg","g",IF(F73="L","ml",F73)))</f>
        <v>g</v>
      </c>
      <c r="E73" s="24" t="n">
        <f aca="false">IF($B73="","",IFERROR(INDEX('Liste des ingrédients'!$H$5:$H$98,MATCH($B73,'Liste des ingrédients'!$B$5:$B$98,0)),0))</f>
        <v>40</v>
      </c>
      <c r="F73" s="22" t="str">
        <f aca="false">IF($B73="","",IFERROR(INDEX('Liste des ingrédients'!$G$5:$G$98,MATCH($B73,'Liste des ingrédients'!$B$5:$B$98,0)),"?"))</f>
        <v>kg</v>
      </c>
      <c r="G73" s="24" t="n">
        <f aca="false">IF(OR($B73="",$C73=""),0,IFERROR($C73*E73/IF(OR(F73="kg",F73="L"),1000,1),0))</f>
        <v>20</v>
      </c>
      <c r="H73" s="22" t="str">
        <f aca="false">IF(AND($A73&lt;&gt;"",$A73='Fiche plat'!$C$3),COUNTIF($A$5:$A73,'Fiche plat'!$C$3),"")</f>
        <v/>
      </c>
      <c r="I73" s="0" t="str">
        <f aca="false">IF($A73="","",IFERROR(INDEX(Plats!$D$5:$D$48,MATCH($A73,Plats!$I$5:$I$48,0)),""))</f>
        <v>Oui</v>
      </c>
    </row>
    <row r="74" customFormat="false" ht="15" hidden="false" customHeight="false" outlineLevel="0" collapsed="false">
      <c r="A74" s="22" t="s">
        <v>129</v>
      </c>
      <c r="B74" s="22" t="s">
        <v>110</v>
      </c>
      <c r="C74" s="35" t="n">
        <v>6</v>
      </c>
      <c r="D74" s="22" t="str">
        <f aca="false">IF($B74="","",IF(F74="kg","g",IF(F74="L","ml",F74)))</f>
        <v>œuf</v>
      </c>
      <c r="E74" s="24" t="n">
        <f aca="false">IF($B74="","",IFERROR(INDEX('Liste des ingrédients'!$H$5:$H$98,MATCH($B74,'Liste des ingrédients'!$B$5:$B$98,0)),0))</f>
        <v>0.3</v>
      </c>
      <c r="F74" s="22" t="str">
        <f aca="false">IF($B74="","",IFERROR(INDEX('Liste des ingrédients'!$G$5:$G$98,MATCH($B74,'Liste des ingrédients'!$B$5:$B$98,0)),"?"))</f>
        <v>œuf</v>
      </c>
      <c r="G74" s="24" t="n">
        <f aca="false">IF(OR($B74="",$C74=""),0,IFERROR($C74*E74/IF(OR(F74="kg",F74="L"),1000,1),0))</f>
        <v>1.8</v>
      </c>
      <c r="H74" s="22" t="str">
        <f aca="false">IF(AND($A74&lt;&gt;"",$A74='Fiche plat'!$C$3),COUNTIF($A$5:$A74,'Fiche plat'!$C$3),"")</f>
        <v/>
      </c>
      <c r="I74" s="0" t="str">
        <f aca="false">IF($A74="","",IFERROR(INDEX(Plats!$D$5:$D$48,MATCH($A74,Plats!$I$5:$I$48,0)),""))</f>
        <v>Oui</v>
      </c>
    </row>
    <row r="75" customFormat="false" ht="15" hidden="false" customHeight="false" outlineLevel="0" collapsed="false">
      <c r="A75" s="22" t="s">
        <v>129</v>
      </c>
      <c r="B75" s="22" t="s">
        <v>108</v>
      </c>
      <c r="C75" s="35" t="n">
        <v>500</v>
      </c>
      <c r="D75" s="22" t="str">
        <f aca="false">IF($B75="","",IF(F75="kg","g",IF(F75="L","ml",F75)))</f>
        <v>g</v>
      </c>
      <c r="E75" s="24" t="n">
        <f aca="false">IF($B75="","",IFERROR(INDEX('Liste des ingrédients'!$H$5:$H$98,MATCH($B75,'Liste des ingrédients'!$B$5:$B$98,0)),0))</f>
        <v>2</v>
      </c>
      <c r="F75" s="22" t="str">
        <f aca="false">IF($B75="","",IFERROR(INDEX('Liste des ingrédients'!$G$5:$G$98,MATCH($B75,'Liste des ingrédients'!$B$5:$B$98,0)),"?"))</f>
        <v>kg</v>
      </c>
      <c r="G75" s="24" t="n">
        <f aca="false">IF(OR($B75="",$C75=""),0,IFERROR($C75*E75/IF(OR(F75="kg",F75="L"),1000,1),0))</f>
        <v>1</v>
      </c>
      <c r="H75" s="22" t="str">
        <f aca="false">IF(AND($A75&lt;&gt;"",$A75='Fiche plat'!$C$3),COUNTIF($A$5:$A75,'Fiche plat'!$C$3),"")</f>
        <v/>
      </c>
      <c r="I75" s="0" t="str">
        <f aca="false">IF($A75="","",IFERROR(INDEX(Plats!$D$5:$D$48,MATCH($A75,Plats!$I$5:$I$48,0)),""))</f>
        <v>Oui</v>
      </c>
    </row>
    <row r="76" customFormat="false" ht="15" hidden="false" customHeight="false" outlineLevel="0" collapsed="false">
      <c r="A76" s="22" t="s">
        <v>129</v>
      </c>
      <c r="B76" s="22" t="s">
        <v>95</v>
      </c>
      <c r="C76" s="35" t="n">
        <v>20</v>
      </c>
      <c r="D76" s="22" t="str">
        <f aca="false">IF($B76="","",IF(F76="kg","g",IF(F76="L","ml",F76)))</f>
        <v>g</v>
      </c>
      <c r="E76" s="24" t="n">
        <f aca="false">IF($B76="","",IFERROR(INDEX('Liste des ingrédients'!$H$5:$H$98,MATCH($B76,'Liste des ingrédients'!$B$5:$B$98,0)),0))</f>
        <v>9</v>
      </c>
      <c r="F76" s="22" t="str">
        <f aca="false">IF($B76="","",IFERROR(INDEX('Liste des ingrédients'!$G$5:$G$98,MATCH($B76,'Liste des ingrédients'!$B$5:$B$98,0)),"?"))</f>
        <v>kg</v>
      </c>
      <c r="G76" s="24" t="n">
        <f aca="false">IF(OR($B76="",$C76=""),0,IFERROR($C76*E76/IF(OR(F76="kg",F76="L"),1000,1),0))</f>
        <v>0.18</v>
      </c>
      <c r="H76" s="22" t="str">
        <f aca="false">IF(AND($A76&lt;&gt;"",$A76='Fiche plat'!$C$3),COUNTIF($A$5:$A76,'Fiche plat'!$C$3),"")</f>
        <v/>
      </c>
      <c r="I76" s="0" t="str">
        <f aca="false">IF($A76="","",IFERROR(INDEX(Plats!$D$5:$D$48,MATCH($A76,Plats!$I$5:$I$48,0)),""))</f>
        <v>Oui</v>
      </c>
    </row>
    <row r="77" customFormat="false" ht="15" hidden="false" customHeight="false" outlineLevel="0" collapsed="false">
      <c r="A77" s="22" t="s">
        <v>129</v>
      </c>
      <c r="B77" s="22" t="s">
        <v>106</v>
      </c>
      <c r="C77" s="35" t="n">
        <v>200</v>
      </c>
      <c r="D77" s="22" t="str">
        <f aca="false">IF($B77="","",IF(F77="kg","g",IF(F77="L","ml",F77)))</f>
        <v>g</v>
      </c>
      <c r="E77" s="24" t="n">
        <f aca="false">IF($B77="","",IFERROR(INDEX('Liste des ingrédients'!$H$5:$H$98,MATCH($B77,'Liste des ingrédients'!$B$5:$B$98,0)),0))</f>
        <v>2.5</v>
      </c>
      <c r="F77" s="22" t="str">
        <f aca="false">IF($B77="","",IFERROR(INDEX('Liste des ingrédients'!$G$5:$G$98,MATCH($B77,'Liste des ingrédients'!$B$5:$B$98,0)),"?"))</f>
        <v>kg</v>
      </c>
      <c r="G77" s="24" t="n">
        <f aca="false">IF(OR($B77="",$C77=""),0,IFERROR($C77*E77/IF(OR(F77="kg",F77="L"),1000,1),0))</f>
        <v>0.5</v>
      </c>
      <c r="H77" s="22" t="str">
        <f aca="false">IF(AND($A77&lt;&gt;"",$A77='Fiche plat'!$C$3),COUNTIF($A$5:$A77,'Fiche plat'!$C$3),"")</f>
        <v/>
      </c>
      <c r="I77" s="0" t="str">
        <f aca="false">IF($A77="","",IFERROR(INDEX(Plats!$D$5:$D$48,MATCH($A77,Plats!$I$5:$I$48,0)),""))</f>
        <v>Oui</v>
      </c>
    </row>
    <row r="78" customFormat="false" ht="15" hidden="false" customHeight="false" outlineLevel="0" collapsed="false">
      <c r="A78" s="22" t="s">
        <v>129</v>
      </c>
      <c r="B78" s="22" t="s">
        <v>107</v>
      </c>
      <c r="C78" s="35" t="n">
        <v>15</v>
      </c>
      <c r="D78" s="22" t="str">
        <f aca="false">IF($B78="","",IF(F78="kg","g",IF(F78="L","ml",F78)))</f>
        <v>g</v>
      </c>
      <c r="E78" s="24" t="n">
        <f aca="false">IF($B78="","",IFERROR(INDEX('Liste des ingrédients'!$H$5:$H$98,MATCH($B78,'Liste des ingrédients'!$B$5:$B$98,0)),0))</f>
        <v>3.3</v>
      </c>
      <c r="F78" s="22" t="str">
        <f aca="false">IF($B78="","",IFERROR(INDEX('Liste des ingrédients'!$G$5:$G$98,MATCH($B78,'Liste des ingrédients'!$B$5:$B$98,0)),"?"))</f>
        <v>kg</v>
      </c>
      <c r="G78" s="24" t="n">
        <f aca="false">IF(OR($B78="",$C78=""),0,IFERROR($C78*E78/IF(OR(F78="kg",F78="L"),1000,1),0))</f>
        <v>0.0495</v>
      </c>
      <c r="H78" s="22" t="str">
        <f aca="false">IF(AND($A78&lt;&gt;"",$A78='Fiche plat'!$C$3),COUNTIF($A$5:$A78,'Fiche plat'!$C$3),"")</f>
        <v/>
      </c>
      <c r="I78" s="0" t="str">
        <f aca="false">IF($A78="","",IFERROR(INDEX(Plats!$D$5:$D$48,MATCH($A78,Plats!$I$5:$I$48,0)),""))</f>
        <v>Oui</v>
      </c>
    </row>
    <row r="79" customFormat="false" ht="15" hidden="false" customHeight="false" outlineLevel="0" collapsed="false">
      <c r="A79" s="22" t="s">
        <v>129</v>
      </c>
      <c r="B79" s="22" t="s">
        <v>97</v>
      </c>
      <c r="C79" s="35" t="n">
        <v>15</v>
      </c>
      <c r="D79" s="22" t="str">
        <f aca="false">IF($B79="","",IF(F79="kg","g",IF(F79="L","ml",F79)))</f>
        <v>g</v>
      </c>
      <c r="E79" s="24" t="n">
        <f aca="false">IF($B79="","",IFERROR(INDEX('Liste des ingrédients'!$H$5:$H$98,MATCH($B79,'Liste des ingrédients'!$B$5:$B$98,0)),0))</f>
        <v>15</v>
      </c>
      <c r="F79" s="22" t="str">
        <f aca="false">IF($B79="","",IFERROR(INDEX('Liste des ingrédients'!$G$5:$G$98,MATCH($B79,'Liste des ingrédients'!$B$5:$B$98,0)),"?"))</f>
        <v>kg</v>
      </c>
      <c r="G79" s="24" t="n">
        <f aca="false">IF(OR($B79="",$C79=""),0,IFERROR($C79*E79/IF(OR(F79="kg",F79="L"),1000,1),0))</f>
        <v>0.225</v>
      </c>
      <c r="H79" s="22" t="str">
        <f aca="false">IF(AND($A79&lt;&gt;"",$A79='Fiche plat'!$C$3),COUNTIF($A$5:$A79,'Fiche plat'!$C$3),"")</f>
        <v/>
      </c>
      <c r="I79" s="0" t="str">
        <f aca="false">IF($A79="","",IFERROR(INDEX(Plats!$D$5:$D$48,MATCH($A79,Plats!$I$5:$I$48,0)),""))</f>
        <v>Oui</v>
      </c>
    </row>
    <row r="80" customFormat="false" ht="15" hidden="false" customHeight="false" outlineLevel="0" collapsed="false">
      <c r="A80" s="22" t="s">
        <v>129</v>
      </c>
      <c r="B80" s="22" t="s">
        <v>96</v>
      </c>
      <c r="C80" s="35" t="n">
        <v>15</v>
      </c>
      <c r="D80" s="22" t="str">
        <f aca="false">IF($B80="","",IF(F80="kg","g",IF(F80="L","ml",F80)))</f>
        <v>g</v>
      </c>
      <c r="E80" s="24" t="n">
        <f aca="false">IF($B80="","",IFERROR(INDEX('Liste des ingrédients'!$H$5:$H$98,MATCH($B80,'Liste des ingrédients'!$B$5:$B$98,0)),0))</f>
        <v>11</v>
      </c>
      <c r="F80" s="22" t="str">
        <f aca="false">IF($B80="","",IFERROR(INDEX('Liste des ingrédients'!$G$5:$G$98,MATCH($B80,'Liste des ingrédients'!$B$5:$B$98,0)),"?"))</f>
        <v>kg</v>
      </c>
      <c r="G80" s="24" t="n">
        <f aca="false">IF(OR($B80="",$C80=""),0,IFERROR($C80*E80/IF(OR(F80="kg",F80="L"),1000,1),0))</f>
        <v>0.165</v>
      </c>
      <c r="H80" s="22" t="str">
        <f aca="false">IF(AND($A80&lt;&gt;"",$A80='Fiche plat'!$C$3),COUNTIF($A$5:$A80,'Fiche plat'!$C$3),"")</f>
        <v/>
      </c>
      <c r="I80" s="0" t="str">
        <f aca="false">IF($A80="","",IFERROR(INDEX(Plats!$D$5:$D$48,MATCH($A80,Plats!$I$5:$I$48,0)),""))</f>
        <v>Oui</v>
      </c>
    </row>
    <row r="81" customFormat="false" ht="15" hidden="false" customHeight="false" outlineLevel="0" collapsed="false">
      <c r="A81" s="22" t="s">
        <v>129</v>
      </c>
      <c r="B81" s="22" t="s">
        <v>117</v>
      </c>
      <c r="C81" s="35" t="n">
        <v>2.5</v>
      </c>
      <c r="D81" s="22" t="str">
        <f aca="false">IF($B81="","",IF(F81="kg","g",IF(F81="L","ml",F81)))</f>
        <v>g</v>
      </c>
      <c r="E81" s="24" t="n">
        <f aca="false">IF($B81="","",IFERROR(INDEX('Liste des ingrédients'!$H$5:$H$98,MATCH($B81,'Liste des ingrédients'!$B$5:$B$98,0)),0))</f>
        <v>33</v>
      </c>
      <c r="F81" s="22" t="str">
        <f aca="false">IF($B81="","",IFERROR(INDEX('Liste des ingrédients'!$G$5:$G$98,MATCH($B81,'Liste des ingrédients'!$B$5:$B$98,0)),"?"))</f>
        <v>kg</v>
      </c>
      <c r="G81" s="24" t="n">
        <f aca="false">IF(OR($B81="",$C81=""),0,IFERROR($C81*E81/IF(OR(F81="kg",F81="L"),1000,1),0))</f>
        <v>0.0825</v>
      </c>
      <c r="H81" s="22" t="str">
        <f aca="false">IF(AND($A81&lt;&gt;"",$A81='Fiche plat'!$C$3),COUNTIF($A$5:$A81,'Fiche plat'!$C$3),"")</f>
        <v/>
      </c>
      <c r="I81" s="0" t="str">
        <f aca="false">IF($A81="","",IFERROR(INDEX(Plats!$D$5:$D$48,MATCH($A81,Plats!$I$5:$I$48,0)),""))</f>
        <v>Oui</v>
      </c>
    </row>
    <row r="82" customFormat="false" ht="15" hidden="false" customHeight="false" outlineLevel="0" collapsed="false">
      <c r="A82" s="22" t="s">
        <v>129</v>
      </c>
      <c r="B82" s="22" t="s">
        <v>101</v>
      </c>
      <c r="C82" s="35" t="n">
        <v>60</v>
      </c>
      <c r="D82" s="22" t="str">
        <f aca="false">IF($B82="","",IF(F82="kg","g",IF(F82="L","ml",F82)))</f>
        <v>ml</v>
      </c>
      <c r="E82" s="24" t="n">
        <f aca="false">IF($B82="","",IFERROR(INDEX('Liste des ingrédients'!$H$5:$H$98,MATCH($B82,'Liste des ingrédients'!$B$5:$B$98,0)),0))</f>
        <v>12.5</v>
      </c>
      <c r="F82" s="22" t="str">
        <f aca="false">IF($B82="","",IFERROR(INDEX('Liste des ingrédients'!$G$5:$G$98,MATCH($B82,'Liste des ingrédients'!$B$5:$B$98,0)),"?"))</f>
        <v>L</v>
      </c>
      <c r="G82" s="24" t="n">
        <f aca="false">IF(OR($B82="",$C82=""),0,IFERROR($C82*E82/IF(OR(F82="kg",F82="L"),1000,1),0))</f>
        <v>0.75</v>
      </c>
      <c r="H82" s="22" t="str">
        <f aca="false">IF(AND($A82&lt;&gt;"",$A82='Fiche plat'!$C$3),COUNTIF($A$5:$A82,'Fiche plat'!$C$3),"")</f>
        <v/>
      </c>
      <c r="I82" s="0" t="str">
        <f aca="false">IF($A82="","",IFERROR(INDEX(Plats!$D$5:$D$48,MATCH($A82,Plats!$I$5:$I$48,0)),""))</f>
        <v>Oui</v>
      </c>
    </row>
    <row r="83" customFormat="false" ht="15" hidden="false" customHeight="false" outlineLevel="0" collapsed="false">
      <c r="A83" s="22" t="s">
        <v>129</v>
      </c>
      <c r="B83" s="22" t="s">
        <v>102</v>
      </c>
      <c r="C83" s="35" t="n">
        <v>6</v>
      </c>
      <c r="D83" s="22" t="str">
        <f aca="false">IF($B83="","",IF(F83="kg","g",IF(F83="L","ml",F83)))</f>
        <v>g</v>
      </c>
      <c r="E83" s="24" t="n">
        <f aca="false">IF($B83="","",IFERROR(INDEX('Liste des ingrédients'!$H$5:$H$98,MATCH($B83,'Liste des ingrédients'!$B$5:$B$98,0)),0))</f>
        <v>0.8</v>
      </c>
      <c r="F83" s="22" t="str">
        <f aca="false">IF($B83="","",IFERROR(INDEX('Liste des ingrédients'!$G$5:$G$98,MATCH($B83,'Liste des ingrédients'!$B$5:$B$98,0)),"?"))</f>
        <v>kg</v>
      </c>
      <c r="G83" s="24" t="n">
        <f aca="false">IF(OR($B83="",$C83=""),0,IFERROR($C83*E83/IF(OR(F83="kg",F83="L"),1000,1),0))</f>
        <v>0.0048</v>
      </c>
      <c r="H83" s="22" t="str">
        <f aca="false">IF(AND($A83&lt;&gt;"",$A83='Fiche plat'!$C$3),COUNTIF($A$5:$A83,'Fiche plat'!$C$3),"")</f>
        <v/>
      </c>
      <c r="I83" s="0" t="str">
        <f aca="false">IF($A83="","",IFERROR(INDEX(Plats!$D$5:$D$48,MATCH($A83,Plats!$I$5:$I$48,0)),""))</f>
        <v>Oui</v>
      </c>
    </row>
    <row r="84" customFormat="false" ht="15" hidden="false" customHeight="false" outlineLevel="0" collapsed="false">
      <c r="A84" s="22" t="s">
        <v>129</v>
      </c>
      <c r="B84" s="22" t="s">
        <v>103</v>
      </c>
      <c r="C84" s="35" t="n">
        <v>1</v>
      </c>
      <c r="D84" s="22" t="str">
        <f aca="false">IF($B84="","",IF(F84="kg","g",IF(F84="L","ml",F84)))</f>
        <v>g</v>
      </c>
      <c r="E84" s="24" t="n">
        <f aca="false">IF($B84="","",IFERROR(INDEX('Liste des ingrédients'!$H$5:$H$98,MATCH($B84,'Liste des ingrédients'!$B$5:$B$98,0)),0))</f>
        <v>50</v>
      </c>
      <c r="F84" s="22" t="str">
        <f aca="false">IF($B84="","",IFERROR(INDEX('Liste des ingrédients'!$G$5:$G$98,MATCH($B84,'Liste des ingrédients'!$B$5:$B$98,0)),"?"))</f>
        <v>kg</v>
      </c>
      <c r="G84" s="24" t="n">
        <f aca="false">IF(OR($B84="",$C84=""),0,IFERROR($C84*E84/IF(OR(F84="kg",F84="L"),1000,1),0))</f>
        <v>0.05</v>
      </c>
      <c r="H84" s="22" t="str">
        <f aca="false">IF(AND($A84&lt;&gt;"",$A84='Fiche plat'!$C$3),COUNTIF($A$5:$A84,'Fiche plat'!$C$3),"")</f>
        <v/>
      </c>
      <c r="I84" s="0" t="str">
        <f aca="false">IF($A84="","",IFERROR(INDEX(Plats!$D$5:$D$48,MATCH($A84,Plats!$I$5:$I$48,0)),""))</f>
        <v>Oui</v>
      </c>
    </row>
    <row r="85" customFormat="false" ht="15" hidden="false" customHeight="false" outlineLevel="0" collapsed="false">
      <c r="A85" s="22" t="s">
        <v>129</v>
      </c>
      <c r="B85" s="22" t="s">
        <v>131</v>
      </c>
      <c r="C85" s="35" t="n">
        <v>2</v>
      </c>
      <c r="D85" s="22" t="str">
        <f aca="false">IF($B85="","",IF(F85="kg","g",IF(F85="L","ml",F85)))</f>
        <v>baguette</v>
      </c>
      <c r="E85" s="24" t="n">
        <f aca="false">IF($B85="","",IFERROR(INDEX('Liste des ingrédients'!$H$5:$H$98,MATCH($B85,'Liste des ingrédients'!$B$5:$B$98,0)),0))</f>
        <v>0.2</v>
      </c>
      <c r="F85" s="22" t="str">
        <f aca="false">IF($B85="","",IFERROR(INDEX('Liste des ingrédients'!$G$5:$G$98,MATCH($B85,'Liste des ingrédients'!$B$5:$B$98,0)),"?"))</f>
        <v>baguette</v>
      </c>
      <c r="G85" s="24" t="n">
        <f aca="false">IF(OR($B85="",$C85=""),0,IFERROR($C85*E85/IF(OR(F85="kg",F85="L"),1000,1),0))</f>
        <v>0.4</v>
      </c>
      <c r="H85" s="22" t="str">
        <f aca="false">IF(AND($A85&lt;&gt;"",$A85='Fiche plat'!$C$3),COUNTIF($A$5:$A85,'Fiche plat'!$C$3),"")</f>
        <v/>
      </c>
      <c r="I85" s="0" t="str">
        <f aca="false">IF($A85="","",IFERROR(INDEX(Plats!$D$5:$D$48,MATCH($A85,Plats!$I$5:$I$48,0)),""))</f>
        <v>Oui</v>
      </c>
    </row>
    <row r="86" customFormat="false" ht="15" hidden="false" customHeight="false" outlineLevel="0" collapsed="false">
      <c r="A86" s="25" t="s">
        <v>132</v>
      </c>
      <c r="B86" s="25" t="s">
        <v>133</v>
      </c>
      <c r="C86" s="34" t="n">
        <v>400</v>
      </c>
      <c r="D86" s="25" t="str">
        <f aca="false">IF($B86="","",IF(F86="kg","g",IF(F86="L","ml",F86)))</f>
        <v>g</v>
      </c>
      <c r="E86" s="27" t="n">
        <f aca="false">IF($B86="","",IFERROR(INDEX('Liste des ingrédients'!$H$5:$H$98,MATCH($B86,'Liste des ingrédients'!$B$5:$B$98,0)),0))</f>
        <v>3.1</v>
      </c>
      <c r="F86" s="25" t="str">
        <f aca="false">IF($B86="","",IFERROR(INDEX('Liste des ingrédients'!$G$5:$G$98,MATCH($B86,'Liste des ingrédients'!$B$5:$B$98,0)),"?"))</f>
        <v>kg</v>
      </c>
      <c r="G86" s="27" t="n">
        <f aca="false">IF(OR($B86="",$C86=""),0,IFERROR($C86*E86/IF(OR(F86="kg",F86="L"),1000,1),0))</f>
        <v>1.24</v>
      </c>
      <c r="H86" s="25" t="str">
        <f aca="false">IF(AND($A86&lt;&gt;"",$A86='Fiche plat'!$C$3),COUNTIF($A$5:$A86,'Fiche plat'!$C$3),"")</f>
        <v/>
      </c>
      <c r="I86" s="0" t="str">
        <f aca="false">IF($A86="","",IFERROR(INDEX(Plats!$D$5:$D$48,MATCH($A86,Plats!$I$5:$I$48,0)),""))</f>
        <v>Oui</v>
      </c>
    </row>
    <row r="87" customFormat="false" ht="15" hidden="false" customHeight="false" outlineLevel="0" collapsed="false">
      <c r="A87" s="25" t="s">
        <v>132</v>
      </c>
      <c r="B87" s="25" t="s">
        <v>134</v>
      </c>
      <c r="C87" s="34" t="n">
        <v>500</v>
      </c>
      <c r="D87" s="25" t="str">
        <f aca="false">IF($B87="","",IF(F87="kg","g",IF(F87="L","ml",F87)))</f>
        <v>g</v>
      </c>
      <c r="E87" s="27" t="n">
        <f aca="false">IF($B87="","",IFERROR(INDEX('Liste des ingrédients'!$H$5:$H$98,MATCH($B87,'Liste des ingrédients'!$B$5:$B$98,0)),0))</f>
        <v>14.9</v>
      </c>
      <c r="F87" s="25" t="str">
        <f aca="false">IF($B87="","",IFERROR(INDEX('Liste des ingrédients'!$G$5:$G$98,MATCH($B87,'Liste des ingrédients'!$B$5:$B$98,0)),"?"))</f>
        <v>kg</v>
      </c>
      <c r="G87" s="27" t="n">
        <f aca="false">IF(OR($B87="",$C87=""),0,IFERROR($C87*E87/IF(OR(F87="kg",F87="L"),1000,1),0))</f>
        <v>7.45</v>
      </c>
      <c r="H87" s="25" t="str">
        <f aca="false">IF(AND($A87&lt;&gt;"",$A87='Fiche plat'!$C$3),COUNTIF($A$5:$A87,'Fiche plat'!$C$3),"")</f>
        <v/>
      </c>
      <c r="I87" s="0" t="str">
        <f aca="false">IF($A87="","",IFERROR(INDEX(Plats!$D$5:$D$48,MATCH($A87,Plats!$I$5:$I$48,0)),""))</f>
        <v>Oui</v>
      </c>
    </row>
    <row r="88" customFormat="false" ht="15" hidden="false" customHeight="false" outlineLevel="0" collapsed="false">
      <c r="A88" s="25" t="s">
        <v>132</v>
      </c>
      <c r="B88" s="25" t="s">
        <v>93</v>
      </c>
      <c r="C88" s="34" t="n">
        <v>100</v>
      </c>
      <c r="D88" s="25" t="str">
        <f aca="false">IF($B88="","",IF(F88="kg","g",IF(F88="L","ml",F88)))</f>
        <v>g</v>
      </c>
      <c r="E88" s="27" t="n">
        <f aca="false">IF($B88="","",IFERROR(INDEX('Liste des ingrédients'!$H$5:$H$98,MATCH($B88,'Liste des ingrédients'!$B$5:$B$98,0)),0))</f>
        <v>1.2</v>
      </c>
      <c r="F88" s="25" t="str">
        <f aca="false">IF($B88="","",IFERROR(INDEX('Liste des ingrédients'!$G$5:$G$98,MATCH($B88,'Liste des ingrédients'!$B$5:$B$98,0)),"?"))</f>
        <v>kg</v>
      </c>
      <c r="G88" s="27" t="n">
        <f aca="false">IF(OR($B88="",$C88=""),0,IFERROR($C88*E88/IF(OR(F88="kg",F88="L"),1000,1),0))</f>
        <v>0.12</v>
      </c>
      <c r="H88" s="25" t="str">
        <f aca="false">IF(AND($A88&lt;&gt;"",$A88='Fiche plat'!$C$3),COUNTIF($A$5:$A88,'Fiche plat'!$C$3),"")</f>
        <v/>
      </c>
      <c r="I88" s="0" t="str">
        <f aca="false">IF($A88="","",IFERROR(INDEX(Plats!$D$5:$D$48,MATCH($A88,Plats!$I$5:$I$48,0)),""))</f>
        <v>Oui</v>
      </c>
    </row>
    <row r="89" customFormat="false" ht="15" hidden="false" customHeight="false" outlineLevel="0" collapsed="false">
      <c r="A89" s="25" t="s">
        <v>132</v>
      </c>
      <c r="B89" s="25" t="s">
        <v>97</v>
      </c>
      <c r="C89" s="34" t="n">
        <v>20</v>
      </c>
      <c r="D89" s="25" t="str">
        <f aca="false">IF($B89="","",IF(F89="kg","g",IF(F89="L","ml",F89)))</f>
        <v>g</v>
      </c>
      <c r="E89" s="27" t="n">
        <f aca="false">IF($B89="","",IFERROR(INDEX('Liste des ingrédients'!$H$5:$H$98,MATCH($B89,'Liste des ingrédients'!$B$5:$B$98,0)),0))</f>
        <v>15</v>
      </c>
      <c r="F89" s="25" t="str">
        <f aca="false">IF($B89="","",IFERROR(INDEX('Liste des ingrédients'!$G$5:$G$98,MATCH($B89,'Liste des ingrédients'!$B$5:$B$98,0)),"?"))</f>
        <v>kg</v>
      </c>
      <c r="G89" s="27" t="n">
        <f aca="false">IF(OR($B89="",$C89=""),0,IFERROR($C89*E89/IF(OR(F89="kg",F89="L"),1000,1),0))</f>
        <v>0.3</v>
      </c>
      <c r="H89" s="25" t="str">
        <f aca="false">IF(AND($A89&lt;&gt;"",$A89='Fiche plat'!$C$3),COUNTIF($A$5:$A89,'Fiche plat'!$C$3),"")</f>
        <v/>
      </c>
      <c r="I89" s="0" t="str">
        <f aca="false">IF($A89="","",IFERROR(INDEX(Plats!$D$5:$D$48,MATCH($A89,Plats!$I$5:$I$48,0)),""))</f>
        <v>Oui</v>
      </c>
    </row>
    <row r="90" customFormat="false" ht="15" hidden="false" customHeight="false" outlineLevel="0" collapsed="false">
      <c r="A90" s="25" t="s">
        <v>132</v>
      </c>
      <c r="B90" s="25" t="s">
        <v>94</v>
      </c>
      <c r="C90" s="34" t="n">
        <v>60</v>
      </c>
      <c r="D90" s="25" t="str">
        <f aca="false">IF($B90="","",IF(F90="kg","g",IF(F90="L","ml",F90)))</f>
        <v>g</v>
      </c>
      <c r="E90" s="27" t="n">
        <f aca="false">IF($B90="","",IFERROR(INDEX('Liste des ingrédients'!$H$5:$H$98,MATCH($B90,'Liste des ingrédients'!$B$5:$B$98,0)),0))</f>
        <v>2.5</v>
      </c>
      <c r="F90" s="25" t="str">
        <f aca="false">IF($B90="","",IFERROR(INDEX('Liste des ingrédients'!$G$5:$G$98,MATCH($B90,'Liste des ingrédients'!$B$5:$B$98,0)),"?"))</f>
        <v>kg</v>
      </c>
      <c r="G90" s="27" t="n">
        <f aca="false">IF(OR($B90="",$C90=""),0,IFERROR($C90*E90/IF(OR(F90="kg",F90="L"),1000,1),0))</f>
        <v>0.15</v>
      </c>
      <c r="H90" s="25" t="str">
        <f aca="false">IF(AND($A90&lt;&gt;"",$A90='Fiche plat'!$C$3),COUNTIF($A$5:$A90,'Fiche plat'!$C$3),"")</f>
        <v/>
      </c>
      <c r="I90" s="0" t="str">
        <f aca="false">IF($A90="","",IFERROR(INDEX(Plats!$D$5:$D$48,MATCH($A90,Plats!$I$5:$I$48,0)),""))</f>
        <v>Oui</v>
      </c>
    </row>
    <row r="91" customFormat="false" ht="15" hidden="false" customHeight="false" outlineLevel="0" collapsed="false">
      <c r="A91" s="25" t="s">
        <v>132</v>
      </c>
      <c r="B91" s="25" t="s">
        <v>95</v>
      </c>
      <c r="C91" s="34" t="n">
        <v>60</v>
      </c>
      <c r="D91" s="25" t="str">
        <f aca="false">IF($B91="","",IF(F91="kg","g",IF(F91="L","ml",F91)))</f>
        <v>g</v>
      </c>
      <c r="E91" s="27" t="n">
        <f aca="false">IF($B91="","",IFERROR(INDEX('Liste des ingrédients'!$H$5:$H$98,MATCH($B91,'Liste des ingrédients'!$B$5:$B$98,0)),0))</f>
        <v>9</v>
      </c>
      <c r="F91" s="25" t="str">
        <f aca="false">IF($B91="","",IFERROR(INDEX('Liste des ingrédients'!$G$5:$G$98,MATCH($B91,'Liste des ingrédients'!$B$5:$B$98,0)),"?"))</f>
        <v>kg</v>
      </c>
      <c r="G91" s="27" t="n">
        <f aca="false">IF(OR($B91="",$C91=""),0,IFERROR($C91*E91/IF(OR(F91="kg",F91="L"),1000,1),0))</f>
        <v>0.54</v>
      </c>
      <c r="H91" s="25" t="str">
        <f aca="false">IF(AND($A91&lt;&gt;"",$A91='Fiche plat'!$C$3),COUNTIF($A$5:$A91,'Fiche plat'!$C$3),"")</f>
        <v/>
      </c>
      <c r="I91" s="0" t="str">
        <f aca="false">IF($A91="","",IFERROR(INDEX(Plats!$D$5:$D$48,MATCH($A91,Plats!$I$5:$I$48,0)),""))</f>
        <v>Oui</v>
      </c>
    </row>
    <row r="92" customFormat="false" ht="15" hidden="false" customHeight="false" outlineLevel="0" collapsed="false">
      <c r="A92" s="25" t="s">
        <v>132</v>
      </c>
      <c r="B92" s="25" t="s">
        <v>96</v>
      </c>
      <c r="C92" s="34" t="n">
        <v>15</v>
      </c>
      <c r="D92" s="25" t="str">
        <f aca="false">IF($B92="","",IF(F92="kg","g",IF(F92="L","ml",F92)))</f>
        <v>g</v>
      </c>
      <c r="E92" s="27" t="n">
        <f aca="false">IF($B92="","",IFERROR(INDEX('Liste des ingrédients'!$H$5:$H$98,MATCH($B92,'Liste des ingrédients'!$B$5:$B$98,0)),0))</f>
        <v>11</v>
      </c>
      <c r="F92" s="25" t="str">
        <f aca="false">IF($B92="","",IFERROR(INDEX('Liste des ingrédients'!$G$5:$G$98,MATCH($B92,'Liste des ingrédients'!$B$5:$B$98,0)),"?"))</f>
        <v>kg</v>
      </c>
      <c r="G92" s="27" t="n">
        <f aca="false">IF(OR($B92="",$C92=""),0,IFERROR($C92*E92/IF(OR(F92="kg",F92="L"),1000,1),0))</f>
        <v>0.165</v>
      </c>
      <c r="H92" s="25" t="str">
        <f aca="false">IF(AND($A92&lt;&gt;"",$A92='Fiche plat'!$C$3),COUNTIF($A$5:$A92,'Fiche plat'!$C$3),"")</f>
        <v/>
      </c>
      <c r="I92" s="0" t="str">
        <f aca="false">IF($A92="","",IFERROR(INDEX(Plats!$D$5:$D$48,MATCH($A92,Plats!$I$5:$I$48,0)),""))</f>
        <v>Oui</v>
      </c>
    </row>
    <row r="93" customFormat="false" ht="15" hidden="false" customHeight="false" outlineLevel="0" collapsed="false">
      <c r="A93" s="25" t="s">
        <v>132</v>
      </c>
      <c r="B93" s="25" t="s">
        <v>117</v>
      </c>
      <c r="C93" s="34" t="n">
        <v>2.5</v>
      </c>
      <c r="D93" s="25" t="str">
        <f aca="false">IF($B93="","",IF(F93="kg","g",IF(F93="L","ml",F93)))</f>
        <v>g</v>
      </c>
      <c r="E93" s="27" t="n">
        <f aca="false">IF($B93="","",IFERROR(INDEX('Liste des ingrédients'!$H$5:$H$98,MATCH($B93,'Liste des ingrédients'!$B$5:$B$98,0)),0))</f>
        <v>33</v>
      </c>
      <c r="F93" s="25" t="str">
        <f aca="false">IF($B93="","",IFERROR(INDEX('Liste des ingrédients'!$G$5:$G$98,MATCH($B93,'Liste des ingrédients'!$B$5:$B$98,0)),"?"))</f>
        <v>kg</v>
      </c>
      <c r="G93" s="27" t="n">
        <f aca="false">IF(OR($B93="",$C93=""),0,IFERROR($C93*E93/IF(OR(F93="kg",F93="L"),1000,1),0))</f>
        <v>0.0825</v>
      </c>
      <c r="H93" s="25" t="str">
        <f aca="false">IF(AND($A93&lt;&gt;"",$A93='Fiche plat'!$C$3),COUNTIF($A$5:$A93,'Fiche plat'!$C$3),"")</f>
        <v/>
      </c>
      <c r="I93" s="0" t="str">
        <f aca="false">IF($A93="","",IFERROR(INDEX(Plats!$D$5:$D$48,MATCH($A93,Plats!$I$5:$I$48,0)),""))</f>
        <v>Oui</v>
      </c>
    </row>
    <row r="94" customFormat="false" ht="15" hidden="false" customHeight="false" outlineLevel="0" collapsed="false">
      <c r="A94" s="25" t="s">
        <v>132</v>
      </c>
      <c r="B94" s="25" t="s">
        <v>124</v>
      </c>
      <c r="C94" s="34" t="n">
        <v>2.5</v>
      </c>
      <c r="D94" s="25" t="str">
        <f aca="false">IF($B94="","",IF(F94="kg","g",IF(F94="L","ml",F94)))</f>
        <v>g</v>
      </c>
      <c r="E94" s="27" t="n">
        <f aca="false">IF($B94="","",IFERROR(INDEX('Liste des ingrédients'!$H$5:$H$98,MATCH($B94,'Liste des ingrédients'!$B$5:$B$98,0)),0))</f>
        <v>40</v>
      </c>
      <c r="F94" s="25" t="str">
        <f aca="false">IF($B94="","",IFERROR(INDEX('Liste des ingrédients'!$G$5:$G$98,MATCH($B94,'Liste des ingrédients'!$B$5:$B$98,0)),"?"))</f>
        <v>kg</v>
      </c>
      <c r="G94" s="27" t="n">
        <f aca="false">IF(OR($B94="",$C94=""),0,IFERROR($C94*E94/IF(OR(F94="kg",F94="L"),1000,1),0))</f>
        <v>0.1</v>
      </c>
      <c r="H94" s="25" t="str">
        <f aca="false">IF(AND($A94&lt;&gt;"",$A94='Fiche plat'!$C$3),COUNTIF($A$5:$A94,'Fiche plat'!$C$3),"")</f>
        <v/>
      </c>
      <c r="I94" s="0" t="str">
        <f aca="false">IF($A94="","",IFERROR(INDEX(Plats!$D$5:$D$48,MATCH($A94,Plats!$I$5:$I$48,0)),""))</f>
        <v>Oui</v>
      </c>
    </row>
    <row r="95" customFormat="false" ht="15" hidden="false" customHeight="false" outlineLevel="0" collapsed="false">
      <c r="A95" s="25" t="s">
        <v>132</v>
      </c>
      <c r="B95" s="25" t="s">
        <v>101</v>
      </c>
      <c r="C95" s="34" t="n">
        <v>90</v>
      </c>
      <c r="D95" s="25" t="str">
        <f aca="false">IF($B95="","",IF(F95="kg","g",IF(F95="L","ml",F95)))</f>
        <v>ml</v>
      </c>
      <c r="E95" s="27" t="n">
        <f aca="false">IF($B95="","",IFERROR(INDEX('Liste des ingrédients'!$H$5:$H$98,MATCH($B95,'Liste des ingrédients'!$B$5:$B$98,0)),0))</f>
        <v>12.5</v>
      </c>
      <c r="F95" s="25" t="str">
        <f aca="false">IF($B95="","",IFERROR(INDEX('Liste des ingrédients'!$G$5:$G$98,MATCH($B95,'Liste des ingrédients'!$B$5:$B$98,0)),"?"))</f>
        <v>L</v>
      </c>
      <c r="G95" s="27" t="n">
        <f aca="false">IF(OR($B95="",$C95=""),0,IFERROR($C95*E95/IF(OR(F95="kg",F95="L"),1000,1),0))</f>
        <v>1.125</v>
      </c>
      <c r="H95" s="25" t="str">
        <f aca="false">IF(AND($A95&lt;&gt;"",$A95='Fiche plat'!$C$3),COUNTIF($A$5:$A95,'Fiche plat'!$C$3),"")</f>
        <v/>
      </c>
      <c r="I95" s="0" t="str">
        <f aca="false">IF($A95="","",IFERROR(INDEX(Plats!$D$5:$D$48,MATCH($A95,Plats!$I$5:$I$48,0)),""))</f>
        <v>Oui</v>
      </c>
    </row>
    <row r="96" customFormat="false" ht="15" hidden="false" customHeight="false" outlineLevel="0" collapsed="false">
      <c r="A96" s="25" t="s">
        <v>132</v>
      </c>
      <c r="B96" s="25" t="s">
        <v>102</v>
      </c>
      <c r="C96" s="34" t="n">
        <v>9</v>
      </c>
      <c r="D96" s="25" t="str">
        <f aca="false">IF($B96="","",IF(F96="kg","g",IF(F96="L","ml",F96)))</f>
        <v>g</v>
      </c>
      <c r="E96" s="27" t="n">
        <f aca="false">IF($B96="","",IFERROR(INDEX('Liste des ingrédients'!$H$5:$H$98,MATCH($B96,'Liste des ingrédients'!$B$5:$B$98,0)),0))</f>
        <v>0.8</v>
      </c>
      <c r="F96" s="25" t="str">
        <f aca="false">IF($B96="","",IFERROR(INDEX('Liste des ingrédients'!$G$5:$G$98,MATCH($B96,'Liste des ingrédients'!$B$5:$B$98,0)),"?"))</f>
        <v>kg</v>
      </c>
      <c r="G96" s="27" t="n">
        <f aca="false">IF(OR($B96="",$C96=""),0,IFERROR($C96*E96/IF(OR(F96="kg",F96="L"),1000,1),0))</f>
        <v>0.0072</v>
      </c>
      <c r="H96" s="25" t="str">
        <f aca="false">IF(AND($A96&lt;&gt;"",$A96='Fiche plat'!$C$3),COUNTIF($A$5:$A96,'Fiche plat'!$C$3),"")</f>
        <v/>
      </c>
      <c r="I96" s="0" t="str">
        <f aca="false">IF($A96="","",IFERROR(INDEX(Plats!$D$5:$D$48,MATCH($A96,Plats!$I$5:$I$48,0)),""))</f>
        <v>Oui</v>
      </c>
    </row>
    <row r="97" customFormat="false" ht="15" hidden="false" customHeight="false" outlineLevel="0" collapsed="false">
      <c r="A97" s="25" t="s">
        <v>132</v>
      </c>
      <c r="B97" s="25" t="s">
        <v>103</v>
      </c>
      <c r="C97" s="34" t="n">
        <v>1</v>
      </c>
      <c r="D97" s="25" t="str">
        <f aca="false">IF($B97="","",IF(F97="kg","g",IF(F97="L","ml",F97)))</f>
        <v>g</v>
      </c>
      <c r="E97" s="27" t="n">
        <f aca="false">IF($B97="","",IFERROR(INDEX('Liste des ingrédients'!$H$5:$H$98,MATCH($B97,'Liste des ingrédients'!$B$5:$B$98,0)),0))</f>
        <v>50</v>
      </c>
      <c r="F97" s="25" t="str">
        <f aca="false">IF($B97="","",IFERROR(INDEX('Liste des ingrédients'!$G$5:$G$98,MATCH($B97,'Liste des ingrédients'!$B$5:$B$98,0)),"?"))</f>
        <v>kg</v>
      </c>
      <c r="G97" s="27" t="n">
        <f aca="false">IF(OR($B97="",$C97=""),0,IFERROR($C97*E97/IF(OR(F97="kg",F97="L"),1000,1),0))</f>
        <v>0.05</v>
      </c>
      <c r="H97" s="25" t="str">
        <f aca="false">IF(AND($A97&lt;&gt;"",$A97='Fiche plat'!$C$3),COUNTIF($A$5:$A97,'Fiche plat'!$C$3),"")</f>
        <v/>
      </c>
      <c r="I97" s="0" t="str">
        <f aca="false">IF($A97="","",IFERROR(INDEX(Plats!$D$5:$D$48,MATCH($A97,Plats!$I$5:$I$48,0)),""))</f>
        <v>Oui</v>
      </c>
    </row>
    <row r="98" customFormat="false" ht="15" hidden="false" customHeight="false" outlineLevel="0" collapsed="false">
      <c r="A98" s="22" t="s">
        <v>135</v>
      </c>
      <c r="B98" s="22" t="s">
        <v>136</v>
      </c>
      <c r="C98" s="35" t="n">
        <v>1</v>
      </c>
      <c r="D98" s="22" t="str">
        <f aca="false">IF($B98="","",IF(F98="kg","g",IF(F98="L","ml",F98)))</f>
        <v>paquet</v>
      </c>
      <c r="E98" s="24" t="n">
        <f aca="false">IF($B98="","",IFERROR(INDEX('Liste des ingrédients'!$H$5:$H$98,MATCH($B98,'Liste des ingrédients'!$B$5:$B$98,0)),0))</f>
        <v>1.5</v>
      </c>
      <c r="F98" s="22" t="str">
        <f aca="false">IF($B98="","",IFERROR(INDEX('Liste des ingrédients'!$G$5:$G$98,MATCH($B98,'Liste des ingrédients'!$B$5:$B$98,0)),"?"))</f>
        <v>paquet</v>
      </c>
      <c r="G98" s="24" t="n">
        <f aca="false">IF(OR($B98="",$C98=""),0,IFERROR($C98*E98/IF(OR(F98="kg",F98="L"),1000,1),0))</f>
        <v>1.5</v>
      </c>
      <c r="H98" s="22" t="str">
        <f aca="false">IF(AND($A98&lt;&gt;"",$A98='Fiche plat'!$C$3),COUNTIF($A$5:$A98,'Fiche plat'!$C$3),"")</f>
        <v/>
      </c>
      <c r="I98" s="0" t="str">
        <f aca="false">IF($A98="","",IFERROR(INDEX(Plats!$D$5:$D$48,MATCH($A98,Plats!$I$5:$I$48,0)),""))</f>
        <v>Oui</v>
      </c>
    </row>
    <row r="99" customFormat="false" ht="15" hidden="false" customHeight="false" outlineLevel="0" collapsed="false">
      <c r="A99" s="22" t="s">
        <v>135</v>
      </c>
      <c r="B99" s="22" t="s">
        <v>110</v>
      </c>
      <c r="C99" s="35" t="n">
        <v>8</v>
      </c>
      <c r="D99" s="22" t="str">
        <f aca="false">IF($B99="","",IF(F99="kg","g",IF(F99="L","ml",F99)))</f>
        <v>œuf</v>
      </c>
      <c r="E99" s="24" t="n">
        <f aca="false">IF($B99="","",IFERROR(INDEX('Liste des ingrédients'!$H$5:$H$98,MATCH($B99,'Liste des ingrédients'!$B$5:$B$98,0)),0))</f>
        <v>0.3</v>
      </c>
      <c r="F99" s="22" t="str">
        <f aca="false">IF($B99="","",IFERROR(INDEX('Liste des ingrédients'!$G$5:$G$98,MATCH($B99,'Liste des ingrédients'!$B$5:$B$98,0)),"?"))</f>
        <v>œuf</v>
      </c>
      <c r="G99" s="24" t="n">
        <f aca="false">IF(OR($B99="",$C99=""),0,IFERROR($C99*E99/IF(OR(F99="kg",F99="L"),1000,1),0))</f>
        <v>2.4</v>
      </c>
      <c r="H99" s="22" t="str">
        <f aca="false">IF(AND($A99&lt;&gt;"",$A99='Fiche plat'!$C$3),COUNTIF($A$5:$A99,'Fiche plat'!$C$3),"")</f>
        <v/>
      </c>
      <c r="I99" s="0" t="str">
        <f aca="false">IF($A99="","",IFERROR(INDEX(Plats!$D$5:$D$48,MATCH($A99,Plats!$I$5:$I$48,0)),""))</f>
        <v>Oui</v>
      </c>
    </row>
    <row r="100" customFormat="false" ht="15" hidden="false" customHeight="false" outlineLevel="0" collapsed="false">
      <c r="A100" s="22" t="s">
        <v>135</v>
      </c>
      <c r="B100" s="22" t="s">
        <v>109</v>
      </c>
      <c r="C100" s="35" t="n">
        <v>2</v>
      </c>
      <c r="D100" s="22" t="str">
        <f aca="false">IF($B100="","",IF(F100="kg","g",IF(F100="L","ml",F100)))</f>
        <v>boîte</v>
      </c>
      <c r="E100" s="24" t="n">
        <f aca="false">IF($B100="","",IFERROR(INDEX('Liste des ingrédients'!$H$5:$H$98,MATCH($B100,'Liste des ingrédients'!$B$5:$B$98,0)),0))</f>
        <v>4.5</v>
      </c>
      <c r="F100" s="22" t="str">
        <f aca="false">IF($B100="","",IFERROR(INDEX('Liste des ingrédients'!$G$5:$G$98,MATCH($B100,'Liste des ingrédients'!$B$5:$B$98,0)),"?"))</f>
        <v>boîte</v>
      </c>
      <c r="G100" s="24" t="n">
        <f aca="false">IF(OR($B100="",$C100=""),0,IFERROR($C100*E100/IF(OR(F100="kg",F100="L"),1000,1),0))</f>
        <v>9</v>
      </c>
      <c r="H100" s="22" t="str">
        <f aca="false">IF(AND($A100&lt;&gt;"",$A100='Fiche plat'!$C$3),COUNTIF($A$5:$A100,'Fiche plat'!$C$3),"")</f>
        <v/>
      </c>
      <c r="I100" s="0" t="str">
        <f aca="false">IF($A100="","",IFERROR(INDEX(Plats!$D$5:$D$48,MATCH($A100,Plats!$I$5:$I$48,0)),""))</f>
        <v>Oui</v>
      </c>
    </row>
    <row r="101" customFormat="false" ht="15" hidden="false" customHeight="false" outlineLevel="0" collapsed="false">
      <c r="A101" s="22" t="s">
        <v>135</v>
      </c>
      <c r="B101" s="22" t="s">
        <v>116</v>
      </c>
      <c r="C101" s="35" t="n">
        <v>0.5</v>
      </c>
      <c r="D101" s="22" t="str">
        <f aca="false">IF($B101="","",IF(F101="kg","g",IF(F101="L","ml",F101)))</f>
        <v>botte</v>
      </c>
      <c r="E101" s="24" t="n">
        <f aca="false">IF($B101="","",IFERROR(INDEX('Liste des ingrédients'!$H$5:$H$98,MATCH($B101,'Liste des ingrédients'!$B$5:$B$98,0)),0))</f>
        <v>0.8</v>
      </c>
      <c r="F101" s="22" t="str">
        <f aca="false">IF($B101="","",IFERROR(INDEX('Liste des ingrédients'!$G$5:$G$98,MATCH($B101,'Liste des ingrédients'!$B$5:$B$98,0)),"?"))</f>
        <v>botte</v>
      </c>
      <c r="G101" s="24" t="n">
        <f aca="false">IF(OR($B101="",$C101=""),0,IFERROR($C101*E101/IF(OR(F101="kg",F101="L"),1000,1),0))</f>
        <v>0.4</v>
      </c>
      <c r="H101" s="22" t="str">
        <f aca="false">IF(AND($A101&lt;&gt;"",$A101='Fiche plat'!$C$3),COUNTIF($A$5:$A101,'Fiche plat'!$C$3),"")</f>
        <v/>
      </c>
      <c r="I101" s="0" t="str">
        <f aca="false">IF($A101="","",IFERROR(INDEX(Plats!$D$5:$D$48,MATCH($A101,Plats!$I$5:$I$48,0)),""))</f>
        <v>Oui</v>
      </c>
    </row>
    <row r="102" customFormat="false" ht="15" hidden="false" customHeight="false" outlineLevel="0" collapsed="false">
      <c r="A102" s="22" t="s">
        <v>135</v>
      </c>
      <c r="B102" s="22" t="s">
        <v>93</v>
      </c>
      <c r="C102" s="35" t="n">
        <v>60</v>
      </c>
      <c r="D102" s="22" t="str">
        <f aca="false">IF($B102="","",IF(F102="kg","g",IF(F102="L","ml",F102)))</f>
        <v>g</v>
      </c>
      <c r="E102" s="24" t="n">
        <f aca="false">IF($B102="","",IFERROR(INDEX('Liste des ingrédients'!$H$5:$H$98,MATCH($B102,'Liste des ingrédients'!$B$5:$B$98,0)),0))</f>
        <v>1.2</v>
      </c>
      <c r="F102" s="22" t="str">
        <f aca="false">IF($B102="","",IFERROR(INDEX('Liste des ingrédients'!$G$5:$G$98,MATCH($B102,'Liste des ingrédients'!$B$5:$B$98,0)),"?"))</f>
        <v>kg</v>
      </c>
      <c r="G102" s="24" t="n">
        <f aca="false">IF(OR($B102="",$C102=""),0,IFERROR($C102*E102/IF(OR(F102="kg",F102="L"),1000,1),0))</f>
        <v>0.072</v>
      </c>
      <c r="H102" s="22" t="str">
        <f aca="false">IF(AND($A102&lt;&gt;"",$A102='Fiche plat'!$C$3),COUNTIF($A$5:$A102,'Fiche plat'!$C$3),"")</f>
        <v/>
      </c>
      <c r="I102" s="0" t="str">
        <f aca="false">IF($A102="","",IFERROR(INDEX(Plats!$D$5:$D$48,MATCH($A102,Plats!$I$5:$I$48,0)),""))</f>
        <v>Oui</v>
      </c>
    </row>
    <row r="103" customFormat="false" ht="15" hidden="false" customHeight="false" outlineLevel="0" collapsed="false">
      <c r="A103" s="22" t="s">
        <v>135</v>
      </c>
      <c r="B103" s="22" t="s">
        <v>137</v>
      </c>
      <c r="C103" s="35" t="n">
        <v>10</v>
      </c>
      <c r="D103" s="22" t="str">
        <f aca="false">IF($B103="","",IF(F103="kg","g",IF(F103="L","ml",F103)))</f>
        <v>g</v>
      </c>
      <c r="E103" s="24" t="n">
        <f aca="false">IF($B103="","",IFERROR(INDEX('Liste des ingrédients'!$H$5:$H$98,MATCH($B103,'Liste des ingrédients'!$B$5:$B$98,0)),0))</f>
        <v>30</v>
      </c>
      <c r="F103" s="22" t="str">
        <f aca="false">IF($B103="","",IFERROR(INDEX('Liste des ingrédients'!$G$5:$G$98,MATCH($B103,'Liste des ingrédients'!$B$5:$B$98,0)),"?"))</f>
        <v>kg</v>
      </c>
      <c r="G103" s="24" t="n">
        <f aca="false">IF(OR($B103="",$C103=""),0,IFERROR($C103*E103/IF(OR(F103="kg",F103="L"),1000,1),0))</f>
        <v>0.3</v>
      </c>
      <c r="H103" s="22" t="str">
        <f aca="false">IF(AND($A103&lt;&gt;"",$A103='Fiche plat'!$C$3),COUNTIF($A$5:$A103,'Fiche plat'!$C$3),"")</f>
        <v/>
      </c>
      <c r="I103" s="0" t="str">
        <f aca="false">IF($A103="","",IFERROR(INDEX(Plats!$D$5:$D$48,MATCH($A103,Plats!$I$5:$I$48,0)),""))</f>
        <v>Oui</v>
      </c>
    </row>
    <row r="104" customFormat="false" ht="15" hidden="false" customHeight="false" outlineLevel="0" collapsed="false">
      <c r="A104" s="22" t="s">
        <v>135</v>
      </c>
      <c r="B104" s="22" t="s">
        <v>102</v>
      </c>
      <c r="C104" s="35" t="n">
        <v>6</v>
      </c>
      <c r="D104" s="22" t="str">
        <f aca="false">IF($B104="","",IF(F104="kg","g",IF(F104="L","ml",F104)))</f>
        <v>g</v>
      </c>
      <c r="E104" s="24" t="n">
        <f aca="false">IF($B104="","",IFERROR(INDEX('Liste des ingrédients'!$H$5:$H$98,MATCH($B104,'Liste des ingrédients'!$B$5:$B$98,0)),0))</f>
        <v>0.8</v>
      </c>
      <c r="F104" s="22" t="str">
        <f aca="false">IF($B104="","",IFERROR(INDEX('Liste des ingrédients'!$G$5:$G$98,MATCH($B104,'Liste des ingrédients'!$B$5:$B$98,0)),"?"))</f>
        <v>kg</v>
      </c>
      <c r="G104" s="24" t="n">
        <f aca="false">IF(OR($B104="",$C104=""),0,IFERROR($C104*E104/IF(OR(F104="kg",F104="L"),1000,1),0))</f>
        <v>0.0048</v>
      </c>
      <c r="H104" s="22" t="str">
        <f aca="false">IF(AND($A104&lt;&gt;"",$A104='Fiche plat'!$C$3),COUNTIF($A$5:$A104,'Fiche plat'!$C$3),"")</f>
        <v/>
      </c>
      <c r="I104" s="0" t="str">
        <f aca="false">IF($A104="","",IFERROR(INDEX(Plats!$D$5:$D$48,MATCH($A104,Plats!$I$5:$I$48,0)),""))</f>
        <v>Oui</v>
      </c>
    </row>
    <row r="105" customFormat="false" ht="15" hidden="false" customHeight="false" outlineLevel="0" collapsed="false">
      <c r="A105" s="22" t="s">
        <v>135</v>
      </c>
      <c r="B105" s="22" t="s">
        <v>103</v>
      </c>
      <c r="C105" s="35" t="n">
        <v>1</v>
      </c>
      <c r="D105" s="22" t="str">
        <f aca="false">IF($B105="","",IF(F105="kg","g",IF(F105="L","ml",F105)))</f>
        <v>g</v>
      </c>
      <c r="E105" s="24" t="n">
        <f aca="false">IF($B105="","",IFERROR(INDEX('Liste des ingrédients'!$H$5:$H$98,MATCH($B105,'Liste des ingrédients'!$B$5:$B$98,0)),0))</f>
        <v>50</v>
      </c>
      <c r="F105" s="22" t="str">
        <f aca="false">IF($B105="","",IFERROR(INDEX('Liste des ingrédients'!$G$5:$G$98,MATCH($B105,'Liste des ingrédients'!$B$5:$B$98,0)),"?"))</f>
        <v>kg</v>
      </c>
      <c r="G105" s="24" t="n">
        <f aca="false">IF(OR($B105="",$C105=""),0,IFERROR($C105*E105/IF(OR(F105="kg",F105="L"),1000,1),0))</f>
        <v>0.05</v>
      </c>
      <c r="H105" s="22" t="str">
        <f aca="false">IF(AND($A105&lt;&gt;"",$A105='Fiche plat'!$C$3),COUNTIF($A$5:$A105,'Fiche plat'!$C$3),"")</f>
        <v/>
      </c>
      <c r="I105" s="0" t="str">
        <f aca="false">IF($A105="","",IFERROR(INDEX(Plats!$D$5:$D$48,MATCH($A105,Plats!$I$5:$I$48,0)),""))</f>
        <v>Oui</v>
      </c>
    </row>
    <row r="106" customFormat="false" ht="15" hidden="false" customHeight="false" outlineLevel="0" collapsed="false">
      <c r="A106" s="22" t="s">
        <v>135</v>
      </c>
      <c r="B106" s="22" t="s">
        <v>118</v>
      </c>
      <c r="C106" s="35" t="n">
        <v>500</v>
      </c>
      <c r="D106" s="22" t="str">
        <f aca="false">IF($B106="","",IF(F106="kg","g",IF(F106="L","ml",F106)))</f>
        <v>ml</v>
      </c>
      <c r="E106" s="24" t="n">
        <f aca="false">IF($B106="","",IFERROR(INDEX('Liste des ingrédients'!$H$5:$H$98,MATCH($B106,'Liste des ingrédients'!$B$5:$B$98,0)),0))</f>
        <v>6</v>
      </c>
      <c r="F106" s="22" t="str">
        <f aca="false">IF($B106="","",IFERROR(INDEX('Liste des ingrédients'!$G$5:$G$98,MATCH($B106,'Liste des ingrédients'!$B$5:$B$98,0)),"?"))</f>
        <v>L</v>
      </c>
      <c r="G106" s="24" t="n">
        <f aca="false">IF(OR($B106="",$C106=""),0,IFERROR($C106*E106/IF(OR(F106="kg",F106="L"),1000,1),0))</f>
        <v>3</v>
      </c>
      <c r="H106" s="22" t="str">
        <f aca="false">IF(AND($A106&lt;&gt;"",$A106='Fiche plat'!$C$3),COUNTIF($A$5:$A106,'Fiche plat'!$C$3),"")</f>
        <v/>
      </c>
      <c r="I106" s="0" t="str">
        <f aca="false">IF($A106="","",IFERROR(INDEX(Plats!$D$5:$D$48,MATCH($A106,Plats!$I$5:$I$48,0)),""))</f>
        <v>Oui</v>
      </c>
    </row>
    <row r="107" customFormat="false" ht="15" hidden="false" customHeight="false" outlineLevel="0" collapsed="false">
      <c r="A107" s="22" t="s">
        <v>135</v>
      </c>
      <c r="B107" s="22" t="s">
        <v>138</v>
      </c>
      <c r="C107" s="35" t="n">
        <v>1</v>
      </c>
      <c r="D107" s="22" t="str">
        <f aca="false">IF($B107="","",IF(F107="kg","g",IF(F107="L","ml",F107)))</f>
        <v>pièce</v>
      </c>
      <c r="E107" s="24" t="n">
        <f aca="false">IF($B107="","",IFERROR(INDEX('Liste des ingrédients'!$H$5:$H$98,MATCH($B107,'Liste des ingrédients'!$B$5:$B$98,0)),0))</f>
        <v>1</v>
      </c>
      <c r="F107" s="22" t="str">
        <f aca="false">IF($B107="","",IFERROR(INDEX('Liste des ingrédients'!$G$5:$G$98,MATCH($B107,'Liste des ingrédients'!$B$5:$B$98,0)),"?"))</f>
        <v>pièce</v>
      </c>
      <c r="G107" s="24" t="n">
        <f aca="false">IF(OR($B107="",$C107=""),0,IFERROR($C107*E107/IF(OR(F107="kg",F107="L"),1000,1),0))</f>
        <v>1</v>
      </c>
      <c r="H107" s="22" t="str">
        <f aca="false">IF(AND($A107&lt;&gt;"",$A107='Fiche plat'!$C$3),COUNTIF($A$5:$A107,'Fiche plat'!$C$3),"")</f>
        <v/>
      </c>
      <c r="I107" s="0" t="str">
        <f aca="false">IF($A107="","",IFERROR(INDEX(Plats!$D$5:$D$48,MATCH($A107,Plats!$I$5:$I$48,0)),""))</f>
        <v>Oui</v>
      </c>
    </row>
    <row r="108" customFormat="false" ht="15" hidden="false" customHeight="false" outlineLevel="0" collapsed="false">
      <c r="A108" s="22" t="s">
        <v>135</v>
      </c>
      <c r="B108" s="22" t="s">
        <v>108</v>
      </c>
      <c r="C108" s="35" t="n">
        <v>250</v>
      </c>
      <c r="D108" s="22" t="str">
        <f aca="false">IF($B108="","",IF(F108="kg","g",IF(F108="L","ml",F108)))</f>
        <v>g</v>
      </c>
      <c r="E108" s="24" t="n">
        <f aca="false">IF($B108="","",IFERROR(INDEX('Liste des ingrédients'!$H$5:$H$98,MATCH($B108,'Liste des ingrédients'!$B$5:$B$98,0)),0))</f>
        <v>2</v>
      </c>
      <c r="F108" s="22" t="str">
        <f aca="false">IF($B108="","",IFERROR(INDEX('Liste des ingrédients'!$G$5:$G$98,MATCH($B108,'Liste des ingrédients'!$B$5:$B$98,0)),"?"))</f>
        <v>kg</v>
      </c>
      <c r="G108" s="24" t="n">
        <f aca="false">IF(OR($B108="",$C108=""),0,IFERROR($C108*E108/IF(OR(F108="kg",F108="L"),1000,1),0))</f>
        <v>0.5</v>
      </c>
      <c r="H108" s="22" t="str">
        <f aca="false">IF(AND($A108&lt;&gt;"",$A108='Fiche plat'!$C$3),COUNTIF($A$5:$A108,'Fiche plat'!$C$3),"")</f>
        <v/>
      </c>
      <c r="I108" s="0" t="str">
        <f aca="false">IF($A108="","",IFERROR(INDEX(Plats!$D$5:$D$48,MATCH($A108,Plats!$I$5:$I$48,0)),""))</f>
        <v>Oui</v>
      </c>
    </row>
    <row r="109" customFormat="false" ht="15" hidden="false" customHeight="false" outlineLevel="0" collapsed="false">
      <c r="A109" s="22" t="s">
        <v>135</v>
      </c>
      <c r="B109" s="22" t="s">
        <v>139</v>
      </c>
      <c r="C109" s="35" t="n">
        <v>200</v>
      </c>
      <c r="D109" s="22" t="str">
        <f aca="false">IF($B109="","",IF(F109="kg","g",IF(F109="L","ml",F109)))</f>
        <v>g</v>
      </c>
      <c r="E109" s="24" t="n">
        <f aca="false">IF($B109="","",IFERROR(INDEX('Liste des ingrédients'!$H$5:$H$98,MATCH($B109,'Liste des ingrédients'!$B$5:$B$98,0)),0))</f>
        <v>2.5</v>
      </c>
      <c r="F109" s="22" t="str">
        <f aca="false">IF($B109="","",IFERROR(INDEX('Liste des ingrédients'!$G$5:$G$98,MATCH($B109,'Liste des ingrédients'!$B$5:$B$98,0)),"?"))</f>
        <v>kg</v>
      </c>
      <c r="G109" s="24" t="n">
        <f aca="false">IF(OR($B109="",$C109=""),0,IFERROR($C109*E109/IF(OR(F109="kg",F109="L"),1000,1),0))</f>
        <v>0.5</v>
      </c>
      <c r="H109" s="22" t="str">
        <f aca="false">IF(AND($A109&lt;&gt;"",$A109='Fiche plat'!$C$3),COUNTIF($A$5:$A109,'Fiche plat'!$C$3),"")</f>
        <v/>
      </c>
      <c r="I109" s="0" t="str">
        <f aca="false">IF($A109="","",IFERROR(INDEX(Plats!$D$5:$D$48,MATCH($A109,Plats!$I$5:$I$48,0)),""))</f>
        <v>Oui</v>
      </c>
    </row>
    <row r="110" customFormat="false" ht="15" hidden="false" customHeight="false" outlineLevel="0" collapsed="false">
      <c r="A110" s="22" t="s">
        <v>135</v>
      </c>
      <c r="B110" s="22" t="s">
        <v>101</v>
      </c>
      <c r="C110" s="35" t="n">
        <v>45</v>
      </c>
      <c r="D110" s="22" t="str">
        <f aca="false">IF($B110="","",IF(F110="kg","g",IF(F110="L","ml",F110)))</f>
        <v>ml</v>
      </c>
      <c r="E110" s="24" t="n">
        <f aca="false">IF($B110="","",IFERROR(INDEX('Liste des ingrédients'!$H$5:$H$98,MATCH($B110,'Liste des ingrédients'!$B$5:$B$98,0)),0))</f>
        <v>12.5</v>
      </c>
      <c r="F110" s="22" t="str">
        <f aca="false">IF($B110="","",IFERROR(INDEX('Liste des ingrédients'!$G$5:$G$98,MATCH($B110,'Liste des ingrédients'!$B$5:$B$98,0)),"?"))</f>
        <v>L</v>
      </c>
      <c r="G110" s="24" t="n">
        <f aca="false">IF(OR($B110="",$C110=""),0,IFERROR($C110*E110/IF(OR(F110="kg",F110="L"),1000,1),0))</f>
        <v>0.5625</v>
      </c>
      <c r="H110" s="22" t="str">
        <f aca="false">IF(AND($A110&lt;&gt;"",$A110='Fiche plat'!$C$3),COUNTIF($A$5:$A110,'Fiche plat'!$C$3),"")</f>
        <v/>
      </c>
      <c r="I110" s="0" t="str">
        <f aca="false">IF($A110="","",IFERROR(INDEX(Plats!$D$5:$D$48,MATCH($A110,Plats!$I$5:$I$48,0)),""))</f>
        <v>Oui</v>
      </c>
    </row>
    <row r="111" customFormat="false" ht="15" hidden="false" customHeight="false" outlineLevel="0" collapsed="false">
      <c r="A111" s="22" t="s">
        <v>135</v>
      </c>
      <c r="B111" s="22" t="s">
        <v>104</v>
      </c>
      <c r="C111" s="35" t="n">
        <v>50</v>
      </c>
      <c r="D111" s="22" t="str">
        <f aca="false">IF($B111="","",IF(F111="kg","g",IF(F111="L","ml",F111)))</f>
        <v>g</v>
      </c>
      <c r="E111" s="24" t="n">
        <f aca="false">IF($B111="","",IFERROR(INDEX('Liste des ingrédients'!$H$5:$H$98,MATCH($B111,'Liste des ingrédients'!$B$5:$B$98,0)),0))</f>
        <v>3</v>
      </c>
      <c r="F111" s="22" t="str">
        <f aca="false">IF($B111="","",IFERROR(INDEX('Liste des ingrédients'!$G$5:$G$98,MATCH($B111,'Liste des ingrédients'!$B$5:$B$98,0)),"?"))</f>
        <v>kg</v>
      </c>
      <c r="G111" s="24" t="n">
        <f aca="false">IF(OR($B111="",$C111=""),0,IFERROR($C111*E111/IF(OR(F111="kg",F111="L"),1000,1),0))</f>
        <v>0.15</v>
      </c>
      <c r="H111" s="22" t="str">
        <f aca="false">IF(AND($A111&lt;&gt;"",$A111='Fiche plat'!$C$3),COUNTIF($A$5:$A111,'Fiche plat'!$C$3),"")</f>
        <v/>
      </c>
      <c r="I111" s="0" t="str">
        <f aca="false">IF($A111="","",IFERROR(INDEX(Plats!$D$5:$D$48,MATCH($A111,Plats!$I$5:$I$48,0)),""))</f>
        <v>Oui</v>
      </c>
    </row>
    <row r="112" customFormat="false" ht="15" hidden="false" customHeight="false" outlineLevel="0" collapsed="false">
      <c r="A112" s="25" t="s">
        <v>140</v>
      </c>
      <c r="B112" s="25" t="s">
        <v>141</v>
      </c>
      <c r="C112" s="34" t="n">
        <v>100</v>
      </c>
      <c r="D112" s="25" t="str">
        <f aca="false">IF($B112="","",IF(F112="kg","g",IF(F112="L","ml",F112)))</f>
        <v>g</v>
      </c>
      <c r="E112" s="27" t="n">
        <f aca="false">IF($B112="","",IFERROR(INDEX('Liste des ingrédients'!$H$5:$H$98,MATCH($B112,'Liste des ingrédients'!$B$5:$B$98,0)),0))</f>
        <v>40</v>
      </c>
      <c r="F112" s="25" t="str">
        <f aca="false">IF($B112="","",IFERROR(INDEX('Liste des ingrédients'!$G$5:$G$98,MATCH($B112,'Liste des ingrédients'!$B$5:$B$98,0)),"?"))</f>
        <v>kg</v>
      </c>
      <c r="G112" s="27" t="n">
        <f aca="false">IF(OR($B112="",$C112=""),0,IFERROR($C112*E112/IF(OR(F112="kg",F112="L"),1000,1),0))</f>
        <v>4</v>
      </c>
      <c r="H112" s="25" t="str">
        <f aca="false">IF(AND($A112&lt;&gt;"",$A112='Fiche plat'!$C$3),COUNTIF($A$5:$A112,'Fiche plat'!$C$3),"")</f>
        <v/>
      </c>
      <c r="I112" s="0" t="str">
        <f aca="false">IF($A112="","",IFERROR(INDEX(Plats!$D$5:$D$48,MATCH($A112,Plats!$I$5:$I$48,0)),""))</f>
        <v>Oui</v>
      </c>
    </row>
    <row r="113" customFormat="false" ht="15" hidden="false" customHeight="false" outlineLevel="0" collapsed="false">
      <c r="A113" s="25" t="s">
        <v>140</v>
      </c>
      <c r="B113" s="25" t="s">
        <v>101</v>
      </c>
      <c r="C113" s="34" t="n">
        <v>200</v>
      </c>
      <c r="D113" s="25" t="str">
        <f aca="false">IF($B113="","",IF(F113="kg","g",IF(F113="L","ml",F113)))</f>
        <v>ml</v>
      </c>
      <c r="E113" s="27" t="n">
        <f aca="false">IF($B113="","",IFERROR(INDEX('Liste des ingrédients'!$H$5:$H$98,MATCH($B113,'Liste des ingrédients'!$B$5:$B$98,0)),0))</f>
        <v>12.5</v>
      </c>
      <c r="F113" s="25" t="str">
        <f aca="false">IF($B113="","",IFERROR(INDEX('Liste des ingrédients'!$G$5:$G$98,MATCH($B113,'Liste des ingrédients'!$B$5:$B$98,0)),"?"))</f>
        <v>L</v>
      </c>
      <c r="G113" s="27" t="n">
        <f aca="false">IF(OR($B113="",$C113=""),0,IFERROR($C113*E113/IF(OR(F113="kg",F113="L"),1000,1),0))</f>
        <v>2.5</v>
      </c>
      <c r="H113" s="25" t="str">
        <f aca="false">IF(AND($A113&lt;&gt;"",$A113='Fiche plat'!$C$3),COUNTIF($A$5:$A113,'Fiche plat'!$C$3),"")</f>
        <v/>
      </c>
      <c r="I113" s="0" t="str">
        <f aca="false">IF($A113="","",IFERROR(INDEX(Plats!$D$5:$D$48,MATCH($A113,Plats!$I$5:$I$48,0)),""))</f>
        <v>Oui</v>
      </c>
    </row>
    <row r="114" customFormat="false" ht="15" hidden="false" customHeight="false" outlineLevel="0" collapsed="false">
      <c r="A114" s="25" t="s">
        <v>140</v>
      </c>
      <c r="B114" s="25" t="s">
        <v>142</v>
      </c>
      <c r="C114" s="34" t="n">
        <v>800</v>
      </c>
      <c r="D114" s="25" t="str">
        <f aca="false">IF($B114="","",IF(F114="kg","g",IF(F114="L","ml",F114)))</f>
        <v>g</v>
      </c>
      <c r="E114" s="27" t="n">
        <f aca="false">IF($B114="","",IFERROR(INDEX('Liste des ingrédients'!$H$5:$H$98,MATCH($B114,'Liste des ingrédients'!$B$5:$B$98,0)),0))</f>
        <v>47.5</v>
      </c>
      <c r="F114" s="25" t="str">
        <f aca="false">IF($B114="","",IFERROR(INDEX('Liste des ingrédients'!$G$5:$G$98,MATCH($B114,'Liste des ingrédients'!$B$5:$B$98,0)),"?"))</f>
        <v>kg</v>
      </c>
      <c r="G114" s="27" t="n">
        <f aca="false">IF(OR($B114="",$C114=""),0,IFERROR($C114*E114/IF(OR(F114="kg",F114="L"),1000,1),0))</f>
        <v>38</v>
      </c>
      <c r="H114" s="25" t="str">
        <f aca="false">IF(AND($A114&lt;&gt;"",$A114='Fiche plat'!$C$3),COUNTIF($A$5:$A114,'Fiche plat'!$C$3),"")</f>
        <v/>
      </c>
      <c r="I114" s="0" t="str">
        <f aca="false">IF($A114="","",IFERROR(INDEX(Plats!$D$5:$D$48,MATCH($A114,Plats!$I$5:$I$48,0)),""))</f>
        <v>Oui</v>
      </c>
    </row>
    <row r="115" customFormat="false" ht="15" hidden="false" customHeight="false" outlineLevel="0" collapsed="false">
      <c r="A115" s="25" t="s">
        <v>140</v>
      </c>
      <c r="B115" s="25" t="s">
        <v>97</v>
      </c>
      <c r="C115" s="34" t="n">
        <v>40</v>
      </c>
      <c r="D115" s="25" t="str">
        <f aca="false">IF($B115="","",IF(F115="kg","g",IF(F115="L","ml",F115)))</f>
        <v>g</v>
      </c>
      <c r="E115" s="27" t="n">
        <f aca="false">IF($B115="","",IFERROR(INDEX('Liste des ingrédients'!$H$5:$H$98,MATCH($B115,'Liste des ingrédients'!$B$5:$B$98,0)),0))</f>
        <v>15</v>
      </c>
      <c r="F115" s="25" t="str">
        <f aca="false">IF($B115="","",IFERROR(INDEX('Liste des ingrédients'!$G$5:$G$98,MATCH($B115,'Liste des ingrédients'!$B$5:$B$98,0)),"?"))</f>
        <v>kg</v>
      </c>
      <c r="G115" s="27" t="n">
        <f aca="false">IF(OR($B115="",$C115=""),0,IFERROR($C115*E115/IF(OR(F115="kg",F115="L"),1000,1),0))</f>
        <v>0.6</v>
      </c>
      <c r="H115" s="25" t="str">
        <f aca="false">IF(AND($A115&lt;&gt;"",$A115='Fiche plat'!$C$3),COUNTIF($A$5:$A115,'Fiche plat'!$C$3),"")</f>
        <v/>
      </c>
      <c r="I115" s="0" t="str">
        <f aca="false">IF($A115="","",IFERROR(INDEX(Plats!$D$5:$D$48,MATCH($A115,Plats!$I$5:$I$48,0)),""))</f>
        <v>Oui</v>
      </c>
    </row>
    <row r="116" customFormat="false" ht="15" hidden="false" customHeight="false" outlineLevel="0" collapsed="false">
      <c r="A116" s="25" t="s">
        <v>140</v>
      </c>
      <c r="B116" s="25" t="s">
        <v>143</v>
      </c>
      <c r="C116" s="34" t="n">
        <v>0.43</v>
      </c>
      <c r="D116" s="25" t="str">
        <f aca="false">IF($B116="","",IF(F116="kg","g",IF(F116="L","ml",F116)))</f>
        <v>forfait</v>
      </c>
      <c r="E116" s="27" t="n">
        <f aca="false">IF($B116="","",IFERROR(INDEX('Liste des ingrédients'!$H$5:$H$98,MATCH($B116,'Liste des ingrédients'!$B$5:$B$98,0)),0))</f>
        <v>0.2</v>
      </c>
      <c r="F116" s="25" t="str">
        <f aca="false">IF($B116="","",IFERROR(INDEX('Liste des ingrédients'!$G$5:$G$98,MATCH($B116,'Liste des ingrédients'!$B$5:$B$98,0)),"?"))</f>
        <v>forfait</v>
      </c>
      <c r="G116" s="27" t="n">
        <f aca="false">IF(OR($B116="",$C116=""),0,IFERROR($C116*E116/IF(OR(F116="kg",F116="L"),1000,1),0))</f>
        <v>0.086</v>
      </c>
      <c r="H116" s="25" t="str">
        <f aca="false">IF(AND($A116&lt;&gt;"",$A116='Fiche plat'!$C$3),COUNTIF($A$5:$A116,'Fiche plat'!$C$3),"")</f>
        <v/>
      </c>
      <c r="I116" s="0" t="str">
        <f aca="false">IF($A116="","",IFERROR(INDEX(Plats!$D$5:$D$48,MATCH($A116,Plats!$I$5:$I$48,0)),""))</f>
        <v>Oui</v>
      </c>
    </row>
    <row r="117" customFormat="false" ht="15" hidden="false" customHeight="false" outlineLevel="0" collapsed="false">
      <c r="A117" s="25" t="s">
        <v>140</v>
      </c>
      <c r="B117" s="25" t="s">
        <v>96</v>
      </c>
      <c r="C117" s="34" t="n">
        <v>15</v>
      </c>
      <c r="D117" s="25" t="str">
        <f aca="false">IF($B117="","",IF(F117="kg","g",IF(F117="L","ml",F117)))</f>
        <v>g</v>
      </c>
      <c r="E117" s="27" t="n">
        <f aca="false">IF($B117="","",IFERROR(INDEX('Liste des ingrédients'!$H$5:$H$98,MATCH($B117,'Liste des ingrédients'!$B$5:$B$98,0)),0))</f>
        <v>11</v>
      </c>
      <c r="F117" s="25" t="str">
        <f aca="false">IF($B117="","",IFERROR(INDEX('Liste des ingrédients'!$G$5:$G$98,MATCH($B117,'Liste des ingrédients'!$B$5:$B$98,0)),"?"))</f>
        <v>kg</v>
      </c>
      <c r="G117" s="27" t="n">
        <f aca="false">IF(OR($B117="",$C117=""),0,IFERROR($C117*E117/IF(OR(F117="kg",F117="L"),1000,1),0))</f>
        <v>0.165</v>
      </c>
      <c r="H117" s="25" t="str">
        <f aca="false">IF(AND($A117&lt;&gt;"",$A117='Fiche plat'!$C$3),COUNTIF($A$5:$A117,'Fiche plat'!$C$3),"")</f>
        <v/>
      </c>
      <c r="I117" s="0" t="str">
        <f aca="false">IF($A117="","",IFERROR(INDEX(Plats!$D$5:$D$48,MATCH($A117,Plats!$I$5:$I$48,0)),""))</f>
        <v>Oui</v>
      </c>
    </row>
    <row r="118" customFormat="false" ht="15" hidden="false" customHeight="false" outlineLevel="0" collapsed="false">
      <c r="A118" s="25" t="s">
        <v>140</v>
      </c>
      <c r="B118" s="25" t="s">
        <v>117</v>
      </c>
      <c r="C118" s="34" t="n">
        <v>2.5</v>
      </c>
      <c r="D118" s="25" t="str">
        <f aca="false">IF($B118="","",IF(F118="kg","g",IF(F118="L","ml",F118)))</f>
        <v>g</v>
      </c>
      <c r="E118" s="27" t="n">
        <f aca="false">IF($B118="","",IFERROR(INDEX('Liste des ingrédients'!$H$5:$H$98,MATCH($B118,'Liste des ingrédients'!$B$5:$B$98,0)),0))</f>
        <v>33</v>
      </c>
      <c r="F118" s="25" t="str">
        <f aca="false">IF($B118="","",IFERROR(INDEX('Liste des ingrédients'!$G$5:$G$98,MATCH($B118,'Liste des ingrédients'!$B$5:$B$98,0)),"?"))</f>
        <v>kg</v>
      </c>
      <c r="G118" s="27" t="n">
        <f aca="false">IF(OR($B118="",$C118=""),0,IFERROR($C118*E118/IF(OR(F118="kg",F118="L"),1000,1),0))</f>
        <v>0.0825</v>
      </c>
      <c r="H118" s="25" t="str">
        <f aca="false">IF(AND($A118&lt;&gt;"",$A118='Fiche plat'!$C$3),COUNTIF($A$5:$A118,'Fiche plat'!$C$3),"")</f>
        <v/>
      </c>
      <c r="I118" s="0" t="str">
        <f aca="false">IF($A118="","",IFERROR(INDEX(Plats!$D$5:$D$48,MATCH($A118,Plats!$I$5:$I$48,0)),""))</f>
        <v>Oui</v>
      </c>
    </row>
    <row r="119" customFormat="false" ht="15" hidden="false" customHeight="false" outlineLevel="0" collapsed="false">
      <c r="A119" s="25" t="s">
        <v>140</v>
      </c>
      <c r="B119" s="25" t="s">
        <v>99</v>
      </c>
      <c r="C119" s="34" t="n">
        <v>2.5</v>
      </c>
      <c r="D119" s="25" t="str">
        <f aca="false">IF($B119="","",IF(F119="kg","g",IF(F119="L","ml",F119)))</f>
        <v>g</v>
      </c>
      <c r="E119" s="27" t="n">
        <f aca="false">IF($B119="","",IFERROR(INDEX('Liste des ingrédients'!$H$5:$H$98,MATCH($B119,'Liste des ingrédients'!$B$5:$B$98,0)),0))</f>
        <v>40</v>
      </c>
      <c r="F119" s="25" t="str">
        <f aca="false">IF($B119="","",IFERROR(INDEX('Liste des ingrédients'!$G$5:$G$98,MATCH($B119,'Liste des ingrédients'!$B$5:$B$98,0)),"?"))</f>
        <v>kg</v>
      </c>
      <c r="G119" s="27" t="n">
        <f aca="false">IF(OR($B119="",$C119=""),0,IFERROR($C119*E119/IF(OR(F119="kg",F119="L"),1000,1),0))</f>
        <v>0.1</v>
      </c>
      <c r="H119" s="25" t="str">
        <f aca="false">IF(AND($A119&lt;&gt;"",$A119='Fiche plat'!$C$3),COUNTIF($A$5:$A119,'Fiche plat'!$C$3),"")</f>
        <v/>
      </c>
      <c r="I119" s="0" t="str">
        <f aca="false">IF($A119="","",IFERROR(INDEX(Plats!$D$5:$D$48,MATCH($A119,Plats!$I$5:$I$48,0)),""))</f>
        <v>Oui</v>
      </c>
    </row>
    <row r="120" customFormat="false" ht="15" hidden="false" customHeight="false" outlineLevel="0" collapsed="false">
      <c r="A120" s="25" t="s">
        <v>140</v>
      </c>
      <c r="B120" s="25" t="s">
        <v>102</v>
      </c>
      <c r="C120" s="34" t="n">
        <v>12</v>
      </c>
      <c r="D120" s="25" t="str">
        <f aca="false">IF($B120="","",IF(F120="kg","g",IF(F120="L","ml",F120)))</f>
        <v>g</v>
      </c>
      <c r="E120" s="27" t="n">
        <f aca="false">IF($B120="","",IFERROR(INDEX('Liste des ingrédients'!$H$5:$H$98,MATCH($B120,'Liste des ingrédients'!$B$5:$B$98,0)),0))</f>
        <v>0.8</v>
      </c>
      <c r="F120" s="25" t="str">
        <f aca="false">IF($B120="","",IFERROR(INDEX('Liste des ingrédients'!$G$5:$G$98,MATCH($B120,'Liste des ingrédients'!$B$5:$B$98,0)),"?"))</f>
        <v>kg</v>
      </c>
      <c r="G120" s="27" t="n">
        <f aca="false">IF(OR($B120="",$C120=""),0,IFERROR($C120*E120/IF(OR(F120="kg",F120="L"),1000,1),0))</f>
        <v>0.0096</v>
      </c>
      <c r="H120" s="25" t="str">
        <f aca="false">IF(AND($A120&lt;&gt;"",$A120='Fiche plat'!$C$3),COUNTIF($A$5:$A120,'Fiche plat'!$C$3),"")</f>
        <v/>
      </c>
      <c r="I120" s="0" t="str">
        <f aca="false">IF($A120="","",IFERROR(INDEX(Plats!$D$5:$D$48,MATCH($A120,Plats!$I$5:$I$48,0)),""))</f>
        <v>Oui</v>
      </c>
    </row>
    <row r="121" customFormat="false" ht="15" hidden="false" customHeight="false" outlineLevel="0" collapsed="false">
      <c r="A121" s="25" t="s">
        <v>140</v>
      </c>
      <c r="B121" s="25" t="s">
        <v>131</v>
      </c>
      <c r="C121" s="34" t="n">
        <v>2</v>
      </c>
      <c r="D121" s="25" t="str">
        <f aca="false">IF($B121="","",IF(F121="kg","g",IF(F121="L","ml",F121)))</f>
        <v>baguette</v>
      </c>
      <c r="E121" s="27" t="n">
        <f aca="false">IF($B121="","",IFERROR(INDEX('Liste des ingrédients'!$H$5:$H$98,MATCH($B121,'Liste des ingrédients'!$B$5:$B$98,0)),0))</f>
        <v>0.2</v>
      </c>
      <c r="F121" s="25" t="str">
        <f aca="false">IF($B121="","",IFERROR(INDEX('Liste des ingrédients'!$G$5:$G$98,MATCH($B121,'Liste des ingrédients'!$B$5:$B$98,0)),"?"))</f>
        <v>baguette</v>
      </c>
      <c r="G121" s="27" t="n">
        <f aca="false">IF(OR($B121="",$C121=""),0,IFERROR($C121*E121/IF(OR(F121="kg",F121="L"),1000,1),0))</f>
        <v>0.4</v>
      </c>
      <c r="H121" s="25" t="str">
        <f aca="false">IF(AND($A121&lt;&gt;"",$A121='Fiche plat'!$C$3),COUNTIF($A$5:$A121,'Fiche plat'!$C$3),"")</f>
        <v/>
      </c>
      <c r="I121" s="0" t="str">
        <f aca="false">IF($A121="","",IFERROR(INDEX(Plats!$D$5:$D$48,MATCH($A121,Plats!$I$5:$I$48,0)),""))</f>
        <v>Oui</v>
      </c>
    </row>
    <row r="122" customFormat="false" ht="15" hidden="false" customHeight="false" outlineLevel="0" collapsed="false">
      <c r="A122" s="22" t="s">
        <v>144</v>
      </c>
      <c r="B122" s="22" t="s">
        <v>145</v>
      </c>
      <c r="C122" s="35" t="n">
        <v>120</v>
      </c>
      <c r="D122" s="22" t="str">
        <f aca="false">IF($B122="","",IF(F122="kg","g",IF(F122="L","ml",F122)))</f>
        <v>g</v>
      </c>
      <c r="E122" s="24" t="n">
        <f aca="false">IF($B122="","",IFERROR(INDEX('Liste des ingrédients'!$H$5:$H$98,MATCH($B122,'Liste des ingrédients'!$B$5:$B$98,0)),0))</f>
        <v>4</v>
      </c>
      <c r="F122" s="22" t="str">
        <f aca="false">IF($B122="","",IFERROR(INDEX('Liste des ingrédients'!$G$5:$G$98,MATCH($B122,'Liste des ingrédients'!$B$5:$B$98,0)),"?"))</f>
        <v>kg</v>
      </c>
      <c r="G122" s="24" t="n">
        <f aca="false">IF(OR($B122="",$C122=""),0,IFERROR($C122*E122/IF(OR(F122="kg",F122="L"),1000,1),0))</f>
        <v>0.48</v>
      </c>
      <c r="H122" s="22" t="str">
        <f aca="false">IF(AND($A122&lt;&gt;"",$A122='Fiche plat'!$C$3),COUNTIF($A$5:$A122,'Fiche plat'!$C$3),"")</f>
        <v/>
      </c>
      <c r="I122" s="0" t="str">
        <f aca="false">IF($A122="","",IFERROR(INDEX(Plats!$D$5:$D$48,MATCH($A122,Plats!$I$5:$I$48,0)),""))</f>
        <v>Oui</v>
      </c>
    </row>
    <row r="123" customFormat="false" ht="15" hidden="false" customHeight="false" outlineLevel="0" collapsed="false">
      <c r="A123" s="22" t="s">
        <v>144</v>
      </c>
      <c r="B123" s="22" t="s">
        <v>146</v>
      </c>
      <c r="C123" s="35" t="n">
        <v>400</v>
      </c>
      <c r="D123" s="22" t="str">
        <f aca="false">IF($B123="","",IF(F123="kg","g",IF(F123="L","ml",F123)))</f>
        <v>g</v>
      </c>
      <c r="E123" s="24" t="n">
        <f aca="false">IF($B123="","",IFERROR(INDEX('Liste des ingrédients'!$H$5:$H$98,MATCH($B123,'Liste des ingrédients'!$B$5:$B$98,0)),0))</f>
        <v>14.9</v>
      </c>
      <c r="F123" s="22" t="str">
        <f aca="false">IF($B123="","",IFERROR(INDEX('Liste des ingrédients'!$G$5:$G$98,MATCH($B123,'Liste des ingrédients'!$B$5:$B$98,0)),"?"))</f>
        <v>kg</v>
      </c>
      <c r="G123" s="24" t="n">
        <f aca="false">IF(OR($B123="",$C123=""),0,IFERROR($C123*E123/IF(OR(F123="kg",F123="L"),1000,1),0))</f>
        <v>5.96</v>
      </c>
      <c r="H123" s="22" t="str">
        <f aca="false">IF(AND($A123&lt;&gt;"",$A123='Fiche plat'!$C$3),COUNTIF($A$5:$A123,'Fiche plat'!$C$3),"")</f>
        <v/>
      </c>
      <c r="I123" s="0" t="str">
        <f aca="false">IF($A123="","",IFERROR(INDEX(Plats!$D$5:$D$48,MATCH($A123,Plats!$I$5:$I$48,0)),""))</f>
        <v>Oui</v>
      </c>
    </row>
    <row r="124" customFormat="false" ht="15" hidden="false" customHeight="false" outlineLevel="0" collapsed="false">
      <c r="A124" s="22" t="s">
        <v>144</v>
      </c>
      <c r="B124" s="22" t="s">
        <v>93</v>
      </c>
      <c r="C124" s="35" t="n">
        <v>200</v>
      </c>
      <c r="D124" s="22" t="str">
        <f aca="false">IF($B124="","",IF(F124="kg","g",IF(F124="L","ml",F124)))</f>
        <v>g</v>
      </c>
      <c r="E124" s="24" t="n">
        <f aca="false">IF($B124="","",IFERROR(INDEX('Liste des ingrédients'!$H$5:$H$98,MATCH($B124,'Liste des ingrédients'!$B$5:$B$98,0)),0))</f>
        <v>1.2</v>
      </c>
      <c r="F124" s="22" t="str">
        <f aca="false">IF($B124="","",IFERROR(INDEX('Liste des ingrédients'!$G$5:$G$98,MATCH($B124,'Liste des ingrédients'!$B$5:$B$98,0)),"?"))</f>
        <v>kg</v>
      </c>
      <c r="G124" s="24" t="n">
        <f aca="false">IF(OR($B124="",$C124=""),0,IFERROR($C124*E124/IF(OR(F124="kg",F124="L"),1000,1),0))</f>
        <v>0.24</v>
      </c>
      <c r="H124" s="22" t="str">
        <f aca="false">IF(AND($A124&lt;&gt;"",$A124='Fiche plat'!$C$3),COUNTIF($A$5:$A124,'Fiche plat'!$C$3),"")</f>
        <v/>
      </c>
      <c r="I124" s="0" t="str">
        <f aca="false">IF($A124="","",IFERROR(INDEX(Plats!$D$5:$D$48,MATCH($A124,Plats!$I$5:$I$48,0)),""))</f>
        <v>Oui</v>
      </c>
    </row>
    <row r="125" customFormat="false" ht="15" hidden="false" customHeight="false" outlineLevel="0" collapsed="false">
      <c r="A125" s="22" t="s">
        <v>144</v>
      </c>
      <c r="B125" s="22" t="s">
        <v>123</v>
      </c>
      <c r="C125" s="35" t="n">
        <v>0.25</v>
      </c>
      <c r="D125" s="22" t="str">
        <f aca="false">IF($B125="","",IF(F125="kg","g",IF(F125="L","ml",F125)))</f>
        <v>botte</v>
      </c>
      <c r="E125" s="24" t="n">
        <f aca="false">IF($B125="","",IFERROR(INDEX('Liste des ingrédients'!$H$5:$H$98,MATCH($B125,'Liste des ingrédients'!$B$5:$B$98,0)),0))</f>
        <v>1</v>
      </c>
      <c r="F125" s="22" t="str">
        <f aca="false">IF($B125="","",IFERROR(INDEX('Liste des ingrédients'!$G$5:$G$98,MATCH($B125,'Liste des ingrédients'!$B$5:$B$98,0)),"?"))</f>
        <v>botte</v>
      </c>
      <c r="G125" s="24" t="n">
        <f aca="false">IF(OR($B125="",$C125=""),0,IFERROR($C125*E125/IF(OR(F125="kg",F125="L"),1000,1),0))</f>
        <v>0.25</v>
      </c>
      <c r="H125" s="22" t="str">
        <f aca="false">IF(AND($A125&lt;&gt;"",$A125='Fiche plat'!$C$3),COUNTIF($A$5:$A125,'Fiche plat'!$C$3),"")</f>
        <v/>
      </c>
      <c r="I125" s="0" t="str">
        <f aca="false">IF($A125="","",IFERROR(INDEX(Plats!$D$5:$D$48,MATCH($A125,Plats!$I$5:$I$48,0)),""))</f>
        <v>Oui</v>
      </c>
    </row>
    <row r="126" customFormat="false" ht="15" hidden="false" customHeight="false" outlineLevel="0" collapsed="false">
      <c r="A126" s="22" t="s">
        <v>144</v>
      </c>
      <c r="B126" s="22" t="s">
        <v>116</v>
      </c>
      <c r="C126" s="35" t="n">
        <v>0.25</v>
      </c>
      <c r="D126" s="22" t="str">
        <f aca="false">IF($B126="","",IF(F126="kg","g",IF(F126="L","ml",F126)))</f>
        <v>botte</v>
      </c>
      <c r="E126" s="24" t="n">
        <f aca="false">IF($B126="","",IFERROR(INDEX('Liste des ingrédients'!$H$5:$H$98,MATCH($B126,'Liste des ingrédients'!$B$5:$B$98,0)),0))</f>
        <v>0.8</v>
      </c>
      <c r="F126" s="22" t="str">
        <f aca="false">IF($B126="","",IFERROR(INDEX('Liste des ingrédients'!$G$5:$G$98,MATCH($B126,'Liste des ingrédients'!$B$5:$B$98,0)),"?"))</f>
        <v>botte</v>
      </c>
      <c r="G126" s="24" t="n">
        <f aca="false">IF(OR($B126="",$C126=""),0,IFERROR($C126*E126/IF(OR(F126="kg",F126="L"),1000,1),0))</f>
        <v>0.2</v>
      </c>
      <c r="H126" s="22" t="str">
        <f aca="false">IF(AND($A126&lt;&gt;"",$A126='Fiche plat'!$C$3),COUNTIF($A$5:$A126,'Fiche plat'!$C$3),"")</f>
        <v/>
      </c>
      <c r="I126" s="0" t="str">
        <f aca="false">IF($A126="","",IFERROR(INDEX(Plats!$D$5:$D$48,MATCH($A126,Plats!$I$5:$I$48,0)),""))</f>
        <v>Oui</v>
      </c>
    </row>
    <row r="127" customFormat="false" ht="15" hidden="false" customHeight="false" outlineLevel="0" collapsed="false">
      <c r="A127" s="22" t="s">
        <v>144</v>
      </c>
      <c r="B127" s="22" t="s">
        <v>97</v>
      </c>
      <c r="C127" s="35" t="n">
        <v>10</v>
      </c>
      <c r="D127" s="22" t="str">
        <f aca="false">IF($B127="","",IF(F127="kg","g",IF(F127="L","ml",F127)))</f>
        <v>g</v>
      </c>
      <c r="E127" s="24" t="n">
        <f aca="false">IF($B127="","",IFERROR(INDEX('Liste des ingrédients'!$H$5:$H$98,MATCH($B127,'Liste des ingrédients'!$B$5:$B$98,0)),0))</f>
        <v>15</v>
      </c>
      <c r="F127" s="22" t="str">
        <f aca="false">IF($B127="","",IFERROR(INDEX('Liste des ingrédients'!$G$5:$G$98,MATCH($B127,'Liste des ingrédients'!$B$5:$B$98,0)),"?"))</f>
        <v>kg</v>
      </c>
      <c r="G127" s="24" t="n">
        <f aca="false">IF(OR($B127="",$C127=""),0,IFERROR($C127*E127/IF(OR(F127="kg",F127="L"),1000,1),0))</f>
        <v>0.15</v>
      </c>
      <c r="H127" s="22" t="str">
        <f aca="false">IF(AND($A127&lt;&gt;"",$A127='Fiche plat'!$C$3),COUNTIF($A$5:$A127,'Fiche plat'!$C$3),"")</f>
        <v/>
      </c>
      <c r="I127" s="0" t="str">
        <f aca="false">IF($A127="","",IFERROR(INDEX(Plats!$D$5:$D$48,MATCH($A127,Plats!$I$5:$I$48,0)),""))</f>
        <v>Oui</v>
      </c>
    </row>
    <row r="128" customFormat="false" ht="15" hidden="false" customHeight="false" outlineLevel="0" collapsed="false">
      <c r="A128" s="22" t="s">
        <v>144</v>
      </c>
      <c r="B128" s="22" t="s">
        <v>95</v>
      </c>
      <c r="C128" s="35" t="n">
        <v>40</v>
      </c>
      <c r="D128" s="22" t="str">
        <f aca="false">IF($B128="","",IF(F128="kg","g",IF(F128="L","ml",F128)))</f>
        <v>g</v>
      </c>
      <c r="E128" s="24" t="n">
        <f aca="false">IF($B128="","",IFERROR(INDEX('Liste des ingrédients'!$H$5:$H$98,MATCH($B128,'Liste des ingrédients'!$B$5:$B$98,0)),0))</f>
        <v>9</v>
      </c>
      <c r="F128" s="22" t="str">
        <f aca="false">IF($B128="","",IFERROR(INDEX('Liste des ingrédients'!$G$5:$G$98,MATCH($B128,'Liste des ingrédients'!$B$5:$B$98,0)),"?"))</f>
        <v>kg</v>
      </c>
      <c r="G128" s="24" t="n">
        <f aca="false">IF(OR($B128="",$C128=""),0,IFERROR($C128*E128/IF(OR(F128="kg",F128="L"),1000,1),0))</f>
        <v>0.36</v>
      </c>
      <c r="H128" s="22" t="str">
        <f aca="false">IF(AND($A128&lt;&gt;"",$A128='Fiche plat'!$C$3),COUNTIF($A$5:$A128,'Fiche plat'!$C$3),"")</f>
        <v/>
      </c>
      <c r="I128" s="0" t="str">
        <f aca="false">IF($A128="","",IFERROR(INDEX(Plats!$D$5:$D$48,MATCH($A128,Plats!$I$5:$I$48,0)),""))</f>
        <v>Oui</v>
      </c>
    </row>
    <row r="129" customFormat="false" ht="15" hidden="false" customHeight="false" outlineLevel="0" collapsed="false">
      <c r="A129" s="22" t="s">
        <v>144</v>
      </c>
      <c r="B129" s="22" t="s">
        <v>98</v>
      </c>
      <c r="C129" s="35" t="n">
        <v>3</v>
      </c>
      <c r="D129" s="22" t="str">
        <f aca="false">IF($B129="","",IF(F129="kg","g",IF(F129="L","ml",F129)))</f>
        <v>g</v>
      </c>
      <c r="E129" s="24" t="n">
        <f aca="false">IF($B129="","",IFERROR(INDEX('Liste des ingrédients'!$H$5:$H$98,MATCH($B129,'Liste des ingrédients'!$B$5:$B$98,0)),0))</f>
        <v>40</v>
      </c>
      <c r="F129" s="22" t="str">
        <f aca="false">IF($B129="","",IFERROR(INDEX('Liste des ingrédients'!$G$5:$G$98,MATCH($B129,'Liste des ingrédients'!$B$5:$B$98,0)),"?"))</f>
        <v>kg</v>
      </c>
      <c r="G129" s="24" t="n">
        <f aca="false">IF(OR($B129="",$C129=""),0,IFERROR($C129*E129/IF(OR(F129="kg",F129="L"),1000,1),0))</f>
        <v>0.12</v>
      </c>
      <c r="H129" s="22" t="str">
        <f aca="false">IF(AND($A129&lt;&gt;"",$A129='Fiche plat'!$C$3),COUNTIF($A$5:$A129,'Fiche plat'!$C$3),"")</f>
        <v/>
      </c>
      <c r="I129" s="0" t="str">
        <f aca="false">IF($A129="","",IFERROR(INDEX(Plats!$D$5:$D$48,MATCH($A129,Plats!$I$5:$I$48,0)),""))</f>
        <v>Oui</v>
      </c>
    </row>
    <row r="130" customFormat="false" ht="15" hidden="false" customHeight="false" outlineLevel="0" collapsed="false">
      <c r="A130" s="22" t="s">
        <v>144</v>
      </c>
      <c r="B130" s="22" t="s">
        <v>125</v>
      </c>
      <c r="C130" s="35" t="n">
        <v>2</v>
      </c>
      <c r="D130" s="22" t="str">
        <f aca="false">IF($B130="","",IF(F130="kg","g",IF(F130="L","ml",F130)))</f>
        <v>g</v>
      </c>
      <c r="E130" s="24" t="n">
        <f aca="false">IF($B130="","",IFERROR(INDEX('Liste des ingrédients'!$H$5:$H$98,MATCH($B130,'Liste des ingrédients'!$B$5:$B$98,0)),0))</f>
        <v>50</v>
      </c>
      <c r="F130" s="22" t="str">
        <f aca="false">IF($B130="","",IFERROR(INDEX('Liste des ingrédients'!$G$5:$G$98,MATCH($B130,'Liste des ingrédients'!$B$5:$B$98,0)),"?"))</f>
        <v>kg</v>
      </c>
      <c r="G130" s="24" t="n">
        <f aca="false">IF(OR($B130="",$C130=""),0,IFERROR($C130*E130/IF(OR(F130="kg",F130="L"),1000,1),0))</f>
        <v>0.1</v>
      </c>
      <c r="H130" s="22" t="str">
        <f aca="false">IF(AND($A130&lt;&gt;"",$A130='Fiche plat'!$C$3),COUNTIF($A$5:$A130,'Fiche plat'!$C$3),"")</f>
        <v/>
      </c>
      <c r="I130" s="0" t="str">
        <f aca="false">IF($A130="","",IFERROR(INDEX(Plats!$D$5:$D$48,MATCH($A130,Plats!$I$5:$I$48,0)),""))</f>
        <v>Oui</v>
      </c>
    </row>
    <row r="131" customFormat="false" ht="15" hidden="false" customHeight="false" outlineLevel="0" collapsed="false">
      <c r="A131" s="22" t="s">
        <v>144</v>
      </c>
      <c r="B131" s="22" t="s">
        <v>101</v>
      </c>
      <c r="C131" s="35" t="n">
        <v>120</v>
      </c>
      <c r="D131" s="22" t="str">
        <f aca="false">IF($B131="","",IF(F131="kg","g",IF(F131="L","ml",F131)))</f>
        <v>ml</v>
      </c>
      <c r="E131" s="24" t="n">
        <f aca="false">IF($B131="","",IFERROR(INDEX('Liste des ingrédients'!$H$5:$H$98,MATCH($B131,'Liste des ingrédients'!$B$5:$B$98,0)),0))</f>
        <v>12.5</v>
      </c>
      <c r="F131" s="22" t="str">
        <f aca="false">IF($B131="","",IFERROR(INDEX('Liste des ingrédients'!$G$5:$G$98,MATCH($B131,'Liste des ingrédients'!$B$5:$B$98,0)),"?"))</f>
        <v>L</v>
      </c>
      <c r="G131" s="24" t="n">
        <f aca="false">IF(OR($B131="",$C131=""),0,IFERROR($C131*E131/IF(OR(F131="kg",F131="L"),1000,1),0))</f>
        <v>1.5</v>
      </c>
      <c r="H131" s="22" t="str">
        <f aca="false">IF(AND($A131&lt;&gt;"",$A131='Fiche plat'!$C$3),COUNTIF($A$5:$A131,'Fiche plat'!$C$3),"")</f>
        <v/>
      </c>
      <c r="I131" s="0" t="str">
        <f aca="false">IF($A131="","",IFERROR(INDEX(Plats!$D$5:$D$48,MATCH($A131,Plats!$I$5:$I$48,0)),""))</f>
        <v>Oui</v>
      </c>
    </row>
    <row r="132" customFormat="false" ht="15" hidden="false" customHeight="false" outlineLevel="0" collapsed="false">
      <c r="A132" s="22" t="s">
        <v>144</v>
      </c>
      <c r="B132" s="22" t="s">
        <v>102</v>
      </c>
      <c r="C132" s="35" t="n">
        <v>15</v>
      </c>
      <c r="D132" s="22" t="str">
        <f aca="false">IF($B132="","",IF(F132="kg","g",IF(F132="L","ml",F132)))</f>
        <v>g</v>
      </c>
      <c r="E132" s="24" t="n">
        <f aca="false">IF($B132="","",IFERROR(INDEX('Liste des ingrédients'!$H$5:$H$98,MATCH($B132,'Liste des ingrédients'!$B$5:$B$98,0)),0))</f>
        <v>0.8</v>
      </c>
      <c r="F132" s="22" t="str">
        <f aca="false">IF($B132="","",IFERROR(INDEX('Liste des ingrédients'!$G$5:$G$98,MATCH($B132,'Liste des ingrédients'!$B$5:$B$98,0)),"?"))</f>
        <v>kg</v>
      </c>
      <c r="G132" s="24" t="n">
        <f aca="false">IF(OR($B132="",$C132=""),0,IFERROR($C132*E132/IF(OR(F132="kg",F132="L"),1000,1),0))</f>
        <v>0.012</v>
      </c>
      <c r="H132" s="22" t="str">
        <f aca="false">IF(AND($A132&lt;&gt;"",$A132='Fiche plat'!$C$3),COUNTIF($A$5:$A132,'Fiche plat'!$C$3),"")</f>
        <v/>
      </c>
      <c r="I132" s="0" t="str">
        <f aca="false">IF($A132="","",IFERROR(INDEX(Plats!$D$5:$D$48,MATCH($A132,Plats!$I$5:$I$48,0)),""))</f>
        <v>Oui</v>
      </c>
    </row>
    <row r="133" customFormat="false" ht="15" hidden="false" customHeight="false" outlineLevel="0" collapsed="false">
      <c r="A133" s="22" t="s">
        <v>144</v>
      </c>
      <c r="B133" s="22" t="s">
        <v>103</v>
      </c>
      <c r="C133" s="35" t="n">
        <v>1</v>
      </c>
      <c r="D133" s="22" t="str">
        <f aca="false">IF($B133="","",IF(F133="kg","g",IF(F133="L","ml",F133)))</f>
        <v>g</v>
      </c>
      <c r="E133" s="24" t="n">
        <f aca="false">IF($B133="","",IFERROR(INDEX('Liste des ingrédients'!$H$5:$H$98,MATCH($B133,'Liste des ingrédients'!$B$5:$B$98,0)),0))</f>
        <v>50</v>
      </c>
      <c r="F133" s="22" t="str">
        <f aca="false">IF($B133="","",IFERROR(INDEX('Liste des ingrédients'!$G$5:$G$98,MATCH($B133,'Liste des ingrédients'!$B$5:$B$98,0)),"?"))</f>
        <v>kg</v>
      </c>
      <c r="G133" s="24" t="n">
        <f aca="false">IF(OR($B133="",$C133=""),0,IFERROR($C133*E133/IF(OR(F133="kg",F133="L"),1000,1),0))</f>
        <v>0.05</v>
      </c>
      <c r="H133" s="22" t="str">
        <f aca="false">IF(AND($A133&lt;&gt;"",$A133='Fiche plat'!$C$3),COUNTIF($A$5:$A133,'Fiche plat'!$C$3),"")</f>
        <v/>
      </c>
      <c r="I133" s="0" t="str">
        <f aca="false">IF($A133="","",IFERROR(INDEX(Plats!$D$5:$D$48,MATCH($A133,Plats!$I$5:$I$48,0)),""))</f>
        <v>Oui</v>
      </c>
    </row>
    <row r="134" customFormat="false" ht="15" hidden="false" customHeight="false" outlineLevel="0" collapsed="false">
      <c r="A134" s="22" t="s">
        <v>144</v>
      </c>
      <c r="B134" s="22" t="s">
        <v>104</v>
      </c>
      <c r="C134" s="35" t="n">
        <v>200</v>
      </c>
      <c r="D134" s="22" t="str">
        <f aca="false">IF($B134="","",IF(F134="kg","g",IF(F134="L","ml",F134)))</f>
        <v>g</v>
      </c>
      <c r="E134" s="24" t="n">
        <f aca="false">IF($B134="","",IFERROR(INDEX('Liste des ingrédients'!$H$5:$H$98,MATCH($B134,'Liste des ingrédients'!$B$5:$B$98,0)),0))</f>
        <v>3</v>
      </c>
      <c r="F134" s="22" t="str">
        <f aca="false">IF($B134="","",IFERROR(INDEX('Liste des ingrédients'!$G$5:$G$98,MATCH($B134,'Liste des ingrédients'!$B$5:$B$98,0)),"?"))</f>
        <v>kg</v>
      </c>
      <c r="G134" s="24" t="n">
        <f aca="false">IF(OR($B134="",$C134=""),0,IFERROR($C134*E134/IF(OR(F134="kg",F134="L"),1000,1),0))</f>
        <v>0.6</v>
      </c>
      <c r="H134" s="22" t="str">
        <f aca="false">IF(AND($A134&lt;&gt;"",$A134='Fiche plat'!$C$3),COUNTIF($A$5:$A134,'Fiche plat'!$C$3),"")</f>
        <v/>
      </c>
      <c r="I134" s="0" t="str">
        <f aca="false">IF($A134="","",IFERROR(INDEX(Plats!$D$5:$D$48,MATCH($A134,Plats!$I$5:$I$48,0)),""))</f>
        <v>Oui</v>
      </c>
    </row>
    <row r="135" customFormat="false" ht="15" hidden="false" customHeight="false" outlineLevel="0" collapsed="false">
      <c r="A135" s="22" t="s">
        <v>144</v>
      </c>
      <c r="B135" s="22" t="s">
        <v>108</v>
      </c>
      <c r="C135" s="35" t="n">
        <v>500</v>
      </c>
      <c r="D135" s="22" t="str">
        <f aca="false">IF($B135="","",IF(F135="kg","g",IF(F135="L","ml",F135)))</f>
        <v>g</v>
      </c>
      <c r="E135" s="24" t="n">
        <f aca="false">IF($B135="","",IFERROR(INDEX('Liste des ingrédients'!$H$5:$H$98,MATCH($B135,'Liste des ingrédients'!$B$5:$B$98,0)),0))</f>
        <v>2</v>
      </c>
      <c r="F135" s="22" t="str">
        <f aca="false">IF($B135="","",IFERROR(INDEX('Liste des ingrédients'!$G$5:$G$98,MATCH($B135,'Liste des ingrédients'!$B$5:$B$98,0)),"?"))</f>
        <v>kg</v>
      </c>
      <c r="G135" s="24" t="n">
        <f aca="false">IF(OR($B135="",$C135=""),0,IFERROR($C135*E135/IF(OR(F135="kg",F135="L"),1000,1),0))</f>
        <v>1</v>
      </c>
      <c r="H135" s="22" t="str">
        <f aca="false">IF(AND($A135&lt;&gt;"",$A135='Fiche plat'!$C$3),COUNTIF($A$5:$A135,'Fiche plat'!$C$3),"")</f>
        <v/>
      </c>
      <c r="I135" s="0" t="str">
        <f aca="false">IF($A135="","",IFERROR(INDEX(Plats!$D$5:$D$48,MATCH($A135,Plats!$I$5:$I$48,0)),""))</f>
        <v>Oui</v>
      </c>
    </row>
    <row r="136" customFormat="false" ht="15" hidden="false" customHeight="false" outlineLevel="0" collapsed="false">
      <c r="A136" s="22" t="s">
        <v>144</v>
      </c>
      <c r="B136" s="22" t="s">
        <v>139</v>
      </c>
      <c r="C136" s="35" t="n">
        <v>400</v>
      </c>
      <c r="D136" s="22" t="str">
        <f aca="false">IF($B136="","",IF(F136="kg","g",IF(F136="L","ml",F136)))</f>
        <v>g</v>
      </c>
      <c r="E136" s="24" t="n">
        <f aca="false">IF($B136="","",IFERROR(INDEX('Liste des ingrédients'!$H$5:$H$98,MATCH($B136,'Liste des ingrédients'!$B$5:$B$98,0)),0))</f>
        <v>2.5</v>
      </c>
      <c r="F136" s="22" t="str">
        <f aca="false">IF($B136="","",IFERROR(INDEX('Liste des ingrédients'!$G$5:$G$98,MATCH($B136,'Liste des ingrédients'!$B$5:$B$98,0)),"?"))</f>
        <v>kg</v>
      </c>
      <c r="G136" s="24" t="n">
        <f aca="false">IF(OR($B136="",$C136=""),0,IFERROR($C136*E136/IF(OR(F136="kg",F136="L"),1000,1),0))</f>
        <v>1</v>
      </c>
      <c r="H136" s="22" t="str">
        <f aca="false">IF(AND($A136&lt;&gt;"",$A136='Fiche plat'!$C$3),COUNTIF($A$5:$A136,'Fiche plat'!$C$3),"")</f>
        <v/>
      </c>
      <c r="I136" s="0" t="str">
        <f aca="false">IF($A136="","",IFERROR(INDEX(Plats!$D$5:$D$48,MATCH($A136,Plats!$I$5:$I$48,0)),""))</f>
        <v>Oui</v>
      </c>
    </row>
    <row r="137" customFormat="false" ht="15" hidden="false" customHeight="false" outlineLevel="0" collapsed="false">
      <c r="A137" s="22" t="s">
        <v>144</v>
      </c>
      <c r="B137" s="22" t="s">
        <v>109</v>
      </c>
      <c r="C137" s="35" t="n">
        <v>1</v>
      </c>
      <c r="D137" s="22" t="str">
        <f aca="false">IF($B137="","",IF(F137="kg","g",IF(F137="L","ml",F137)))</f>
        <v>boîte</v>
      </c>
      <c r="E137" s="24" t="n">
        <f aca="false">IF($B137="","",IFERROR(INDEX('Liste des ingrédients'!$H$5:$H$98,MATCH($B137,'Liste des ingrédients'!$B$5:$B$98,0)),0))</f>
        <v>4.5</v>
      </c>
      <c r="F137" s="22" t="str">
        <f aca="false">IF($B137="","",IFERROR(INDEX('Liste des ingrédients'!$G$5:$G$98,MATCH($B137,'Liste des ingrédients'!$B$5:$B$98,0)),"?"))</f>
        <v>boîte</v>
      </c>
      <c r="G137" s="24" t="n">
        <f aca="false">IF(OR($B137="",$C137=""),0,IFERROR($C137*E137/IF(OR(F137="kg",F137="L"),1000,1),0))</f>
        <v>4.5</v>
      </c>
      <c r="H137" s="22" t="str">
        <f aca="false">IF(AND($A137&lt;&gt;"",$A137='Fiche plat'!$C$3),COUNTIF($A$5:$A137,'Fiche plat'!$C$3),"")</f>
        <v/>
      </c>
      <c r="I137" s="0" t="str">
        <f aca="false">IF($A137="","",IFERROR(INDEX(Plats!$D$5:$D$48,MATCH($A137,Plats!$I$5:$I$48,0)),""))</f>
        <v>Oui</v>
      </c>
    </row>
    <row r="138" customFormat="false" ht="15" hidden="false" customHeight="false" outlineLevel="0" collapsed="false">
      <c r="A138" s="22" t="s">
        <v>144</v>
      </c>
      <c r="B138" s="22" t="s">
        <v>110</v>
      </c>
      <c r="C138" s="35" t="n">
        <v>2</v>
      </c>
      <c r="D138" s="22" t="str">
        <f aca="false">IF($B138="","",IF(F138="kg","g",IF(F138="L","ml",F138)))</f>
        <v>œuf</v>
      </c>
      <c r="E138" s="24" t="n">
        <f aca="false">IF($B138="","",IFERROR(INDEX('Liste des ingrédients'!$H$5:$H$98,MATCH($B138,'Liste des ingrédients'!$B$5:$B$98,0)),0))</f>
        <v>0.3</v>
      </c>
      <c r="F138" s="22" t="str">
        <f aca="false">IF($B138="","",IFERROR(INDEX('Liste des ingrédients'!$G$5:$G$98,MATCH($B138,'Liste des ingrédients'!$B$5:$B$98,0)),"?"))</f>
        <v>œuf</v>
      </c>
      <c r="G138" s="24" t="n">
        <f aca="false">IF(OR($B138="",$C138=""),0,IFERROR($C138*E138/IF(OR(F138="kg",F138="L"),1000,1),0))</f>
        <v>0.6</v>
      </c>
      <c r="H138" s="22" t="str">
        <f aca="false">IF(AND($A138&lt;&gt;"",$A138='Fiche plat'!$C$3),COUNTIF($A$5:$A138,'Fiche plat'!$C$3),"")</f>
        <v/>
      </c>
      <c r="I138" s="0" t="str">
        <f aca="false">IF($A138="","",IFERROR(INDEX(Plats!$D$5:$D$48,MATCH($A138,Plats!$I$5:$I$48,0)),""))</f>
        <v>Oui</v>
      </c>
    </row>
    <row r="139" customFormat="false" ht="15" hidden="false" customHeight="false" outlineLevel="0" collapsed="false">
      <c r="A139" s="25" t="s">
        <v>147</v>
      </c>
      <c r="B139" s="25" t="s">
        <v>148</v>
      </c>
      <c r="C139" s="34" t="n">
        <v>300</v>
      </c>
      <c r="D139" s="25" t="str">
        <f aca="false">IF($B139="","",IF(F139="kg","g",IF(F139="L","ml",F139)))</f>
        <v>g</v>
      </c>
      <c r="E139" s="27" t="n">
        <f aca="false">IF($B139="","",IFERROR(INDEX('Liste des ingrédients'!$H$5:$H$98,MATCH($B139,'Liste des ingrédients'!$B$5:$B$98,0)),0))</f>
        <v>6</v>
      </c>
      <c r="F139" s="25" t="str">
        <f aca="false">IF($B139="","",IFERROR(INDEX('Liste des ingrédients'!$G$5:$G$98,MATCH($B139,'Liste des ingrédients'!$B$5:$B$98,0)),"?"))</f>
        <v>kg</v>
      </c>
      <c r="G139" s="27" t="n">
        <f aca="false">IF(OR($B139="",$C139=""),0,IFERROR($C139*E139/IF(OR(F139="kg",F139="L"),1000,1),0))</f>
        <v>1.8</v>
      </c>
      <c r="H139" s="25" t="str">
        <f aca="false">IF(AND($A139&lt;&gt;"",$A139='Fiche plat'!$C$3),COUNTIF($A$5:$A139,'Fiche plat'!$C$3),"")</f>
        <v/>
      </c>
      <c r="I139" s="0" t="str">
        <f aca="false">IF($A139="","",IFERROR(INDEX(Plats!$D$5:$D$48,MATCH($A139,Plats!$I$5:$I$48,0)),""))</f>
        <v>Oui</v>
      </c>
    </row>
    <row r="140" customFormat="false" ht="15" hidden="false" customHeight="false" outlineLevel="0" collapsed="false">
      <c r="A140" s="25" t="s">
        <v>147</v>
      </c>
      <c r="B140" s="25" t="s">
        <v>127</v>
      </c>
      <c r="C140" s="34" t="n">
        <v>1000</v>
      </c>
      <c r="D140" s="25" t="str">
        <f aca="false">IF($B140="","",IF(F140="kg","g",IF(F140="L","ml",F140)))</f>
        <v>g</v>
      </c>
      <c r="E140" s="27" t="n">
        <f aca="false">IF($B140="","",IFERROR(INDEX('Liste des ingrédients'!$H$5:$H$98,MATCH($B140,'Liste des ingrédients'!$B$5:$B$98,0)),0))</f>
        <v>14.9</v>
      </c>
      <c r="F140" s="25" t="str">
        <f aca="false">IF($B140="","",IFERROR(INDEX('Liste des ingrédients'!$G$5:$G$98,MATCH($B140,'Liste des ingrédients'!$B$5:$B$98,0)),"?"))</f>
        <v>kg</v>
      </c>
      <c r="G140" s="27" t="n">
        <f aca="false">IF(OR($B140="",$C140=""),0,IFERROR($C140*E140/IF(OR(F140="kg",F140="L"),1000,1),0))</f>
        <v>14.9</v>
      </c>
      <c r="H140" s="25" t="str">
        <f aca="false">IF(AND($A140&lt;&gt;"",$A140='Fiche plat'!$C$3),COUNTIF($A$5:$A140,'Fiche plat'!$C$3),"")</f>
        <v/>
      </c>
      <c r="I140" s="0" t="str">
        <f aca="false">IF($A140="","",IFERROR(INDEX(Plats!$D$5:$D$48,MATCH($A140,Plats!$I$5:$I$48,0)),""))</f>
        <v>Oui</v>
      </c>
    </row>
    <row r="141" customFormat="false" ht="15" hidden="false" customHeight="false" outlineLevel="0" collapsed="false">
      <c r="A141" s="25" t="s">
        <v>147</v>
      </c>
      <c r="B141" s="25" t="s">
        <v>93</v>
      </c>
      <c r="C141" s="34" t="n">
        <v>100</v>
      </c>
      <c r="D141" s="25" t="str">
        <f aca="false">IF($B141="","",IF(F141="kg","g",IF(F141="L","ml",F141)))</f>
        <v>g</v>
      </c>
      <c r="E141" s="27" t="n">
        <f aca="false">IF($B141="","",IFERROR(INDEX('Liste des ingrédients'!$H$5:$H$98,MATCH($B141,'Liste des ingrédients'!$B$5:$B$98,0)),0))</f>
        <v>1.2</v>
      </c>
      <c r="F141" s="25" t="str">
        <f aca="false">IF($B141="","",IFERROR(INDEX('Liste des ingrédients'!$G$5:$G$98,MATCH($B141,'Liste des ingrédients'!$B$5:$B$98,0)),"?"))</f>
        <v>kg</v>
      </c>
      <c r="G141" s="27" t="n">
        <f aca="false">IF(OR($B141="",$C141=""),0,IFERROR($C141*E141/IF(OR(F141="kg",F141="L"),1000,1),0))</f>
        <v>0.12</v>
      </c>
      <c r="H141" s="25" t="str">
        <f aca="false">IF(AND($A141&lt;&gt;"",$A141='Fiche plat'!$C$3),COUNTIF($A$5:$A141,'Fiche plat'!$C$3),"")</f>
        <v/>
      </c>
      <c r="I141" s="0" t="str">
        <f aca="false">IF($A141="","",IFERROR(INDEX(Plats!$D$5:$D$48,MATCH($A141,Plats!$I$5:$I$48,0)),""))</f>
        <v>Oui</v>
      </c>
    </row>
    <row r="142" customFormat="false" ht="15" hidden="false" customHeight="false" outlineLevel="0" collapsed="false">
      <c r="A142" s="25" t="s">
        <v>147</v>
      </c>
      <c r="B142" s="25" t="s">
        <v>97</v>
      </c>
      <c r="C142" s="34" t="n">
        <v>20</v>
      </c>
      <c r="D142" s="25" t="str">
        <f aca="false">IF($B142="","",IF(F142="kg","g",IF(F142="L","ml",F142)))</f>
        <v>g</v>
      </c>
      <c r="E142" s="27" t="n">
        <f aca="false">IF($B142="","",IFERROR(INDEX('Liste des ingrédients'!$H$5:$H$98,MATCH($B142,'Liste des ingrédients'!$B$5:$B$98,0)),0))</f>
        <v>15</v>
      </c>
      <c r="F142" s="25" t="str">
        <f aca="false">IF($B142="","",IFERROR(INDEX('Liste des ingrédients'!$G$5:$G$98,MATCH($B142,'Liste des ingrédients'!$B$5:$B$98,0)),"?"))</f>
        <v>kg</v>
      </c>
      <c r="G142" s="27" t="n">
        <f aca="false">IF(OR($B142="",$C142=""),0,IFERROR($C142*E142/IF(OR(F142="kg",F142="L"),1000,1),0))</f>
        <v>0.3</v>
      </c>
      <c r="H142" s="25" t="str">
        <f aca="false">IF(AND($A142&lt;&gt;"",$A142='Fiche plat'!$C$3),COUNTIF($A$5:$A142,'Fiche plat'!$C$3),"")</f>
        <v/>
      </c>
      <c r="I142" s="0" t="str">
        <f aca="false">IF($A142="","",IFERROR(INDEX(Plats!$D$5:$D$48,MATCH($A142,Plats!$I$5:$I$48,0)),""))</f>
        <v>Oui</v>
      </c>
    </row>
    <row r="143" customFormat="false" ht="15" hidden="false" customHeight="false" outlineLevel="0" collapsed="false">
      <c r="A143" s="25" t="s">
        <v>147</v>
      </c>
      <c r="B143" s="25" t="s">
        <v>95</v>
      </c>
      <c r="C143" s="34" t="n">
        <v>40</v>
      </c>
      <c r="D143" s="25" t="str">
        <f aca="false">IF($B143="","",IF(F143="kg","g",IF(F143="L","ml",F143)))</f>
        <v>g</v>
      </c>
      <c r="E143" s="27" t="n">
        <f aca="false">IF($B143="","",IFERROR(INDEX('Liste des ingrédients'!$H$5:$H$98,MATCH($B143,'Liste des ingrédients'!$B$5:$B$98,0)),0))</f>
        <v>9</v>
      </c>
      <c r="F143" s="25" t="str">
        <f aca="false">IF($B143="","",IFERROR(INDEX('Liste des ingrédients'!$G$5:$G$98,MATCH($B143,'Liste des ingrédients'!$B$5:$B$98,0)),"?"))</f>
        <v>kg</v>
      </c>
      <c r="G143" s="27" t="n">
        <f aca="false">IF(OR($B143="",$C143=""),0,IFERROR($C143*E143/IF(OR(F143="kg",F143="L"),1000,1),0))</f>
        <v>0.36</v>
      </c>
      <c r="H143" s="25" t="str">
        <f aca="false">IF(AND($A143&lt;&gt;"",$A143='Fiche plat'!$C$3),COUNTIF($A$5:$A143,'Fiche plat'!$C$3),"")</f>
        <v/>
      </c>
      <c r="I143" s="0" t="str">
        <f aca="false">IF($A143="","",IFERROR(INDEX(Plats!$D$5:$D$48,MATCH($A143,Plats!$I$5:$I$48,0)),""))</f>
        <v>Oui</v>
      </c>
    </row>
    <row r="144" customFormat="false" ht="15" hidden="false" customHeight="false" outlineLevel="0" collapsed="false">
      <c r="A144" s="25" t="s">
        <v>147</v>
      </c>
      <c r="B144" s="25" t="s">
        <v>96</v>
      </c>
      <c r="C144" s="34" t="n">
        <v>15</v>
      </c>
      <c r="D144" s="25" t="str">
        <f aca="false">IF($B144="","",IF(F144="kg","g",IF(F144="L","ml",F144)))</f>
        <v>g</v>
      </c>
      <c r="E144" s="27" t="n">
        <f aca="false">IF($B144="","",IFERROR(INDEX('Liste des ingrédients'!$H$5:$H$98,MATCH($B144,'Liste des ingrédients'!$B$5:$B$98,0)),0))</f>
        <v>11</v>
      </c>
      <c r="F144" s="25" t="str">
        <f aca="false">IF($B144="","",IFERROR(INDEX('Liste des ingrédients'!$G$5:$G$98,MATCH($B144,'Liste des ingrédients'!$B$5:$B$98,0)),"?"))</f>
        <v>kg</v>
      </c>
      <c r="G144" s="27" t="n">
        <f aca="false">IF(OR($B144="",$C144=""),0,IFERROR($C144*E144/IF(OR(F144="kg",F144="L"),1000,1),0))</f>
        <v>0.165</v>
      </c>
      <c r="H144" s="25" t="str">
        <f aca="false">IF(AND($A144&lt;&gt;"",$A144='Fiche plat'!$C$3),COUNTIF($A$5:$A144,'Fiche plat'!$C$3),"")</f>
        <v/>
      </c>
      <c r="I144" s="0" t="str">
        <f aca="false">IF($A144="","",IFERROR(INDEX(Plats!$D$5:$D$48,MATCH($A144,Plats!$I$5:$I$48,0)),""))</f>
        <v>Oui</v>
      </c>
    </row>
    <row r="145" customFormat="false" ht="15" hidden="false" customHeight="false" outlineLevel="0" collapsed="false">
      <c r="A145" s="25" t="s">
        <v>147</v>
      </c>
      <c r="B145" s="25" t="s">
        <v>117</v>
      </c>
      <c r="C145" s="34" t="n">
        <v>2.5</v>
      </c>
      <c r="D145" s="25" t="str">
        <f aca="false">IF($B145="","",IF(F145="kg","g",IF(F145="L","ml",F145)))</f>
        <v>g</v>
      </c>
      <c r="E145" s="27" t="n">
        <f aca="false">IF($B145="","",IFERROR(INDEX('Liste des ingrédients'!$H$5:$H$98,MATCH($B145,'Liste des ingrédients'!$B$5:$B$98,0)),0))</f>
        <v>33</v>
      </c>
      <c r="F145" s="25" t="str">
        <f aca="false">IF($B145="","",IFERROR(INDEX('Liste des ingrédients'!$G$5:$G$98,MATCH($B145,'Liste des ingrédients'!$B$5:$B$98,0)),"?"))</f>
        <v>kg</v>
      </c>
      <c r="G145" s="27" t="n">
        <f aca="false">IF(OR($B145="",$C145=""),0,IFERROR($C145*E145/IF(OR(F145="kg",F145="L"),1000,1),0))</f>
        <v>0.0825</v>
      </c>
      <c r="H145" s="25" t="str">
        <f aca="false">IF(AND($A145&lt;&gt;"",$A145='Fiche plat'!$C$3),COUNTIF($A$5:$A145,'Fiche plat'!$C$3),"")</f>
        <v/>
      </c>
      <c r="I145" s="0" t="str">
        <f aca="false">IF($A145="","",IFERROR(INDEX(Plats!$D$5:$D$48,MATCH($A145,Plats!$I$5:$I$48,0)),""))</f>
        <v>Oui</v>
      </c>
    </row>
    <row r="146" customFormat="false" ht="15" hidden="false" customHeight="false" outlineLevel="0" collapsed="false">
      <c r="A146" s="25" t="s">
        <v>147</v>
      </c>
      <c r="B146" s="25" t="s">
        <v>99</v>
      </c>
      <c r="C146" s="34" t="n">
        <v>1</v>
      </c>
      <c r="D146" s="25" t="str">
        <f aca="false">IF($B146="","",IF(F146="kg","g",IF(F146="L","ml",F146)))</f>
        <v>g</v>
      </c>
      <c r="E146" s="27" t="n">
        <f aca="false">IF($B146="","",IFERROR(INDEX('Liste des ingrédients'!$H$5:$H$98,MATCH($B146,'Liste des ingrédients'!$B$5:$B$98,0)),0))</f>
        <v>40</v>
      </c>
      <c r="F146" s="25" t="str">
        <f aca="false">IF($B146="","",IFERROR(INDEX('Liste des ingrédients'!$G$5:$G$98,MATCH($B146,'Liste des ingrédients'!$B$5:$B$98,0)),"?"))</f>
        <v>kg</v>
      </c>
      <c r="G146" s="27" t="n">
        <f aca="false">IF(OR($B146="",$C146=""),0,IFERROR($C146*E146/IF(OR(F146="kg",F146="L"),1000,1),0))</f>
        <v>0.04</v>
      </c>
      <c r="H146" s="25" t="str">
        <f aca="false">IF(AND($A146&lt;&gt;"",$A146='Fiche plat'!$C$3),COUNTIF($A$5:$A146,'Fiche plat'!$C$3),"")</f>
        <v/>
      </c>
      <c r="I146" s="0" t="str">
        <f aca="false">IF($A146="","",IFERROR(INDEX(Plats!$D$5:$D$48,MATCH($A146,Plats!$I$5:$I$48,0)),""))</f>
        <v>Oui</v>
      </c>
    </row>
    <row r="147" customFormat="false" ht="15" hidden="false" customHeight="false" outlineLevel="0" collapsed="false">
      <c r="A147" s="25" t="s">
        <v>147</v>
      </c>
      <c r="B147" s="25" t="s">
        <v>124</v>
      </c>
      <c r="C147" s="34" t="n">
        <v>2.5</v>
      </c>
      <c r="D147" s="25" t="str">
        <f aca="false">IF($B147="","",IF(F147="kg","g",IF(F147="L","ml",F147)))</f>
        <v>g</v>
      </c>
      <c r="E147" s="27" t="n">
        <f aca="false">IF($B147="","",IFERROR(INDEX('Liste des ingrédients'!$H$5:$H$98,MATCH($B147,'Liste des ingrédients'!$B$5:$B$98,0)),0))</f>
        <v>40</v>
      </c>
      <c r="F147" s="25" t="str">
        <f aca="false">IF($B147="","",IFERROR(INDEX('Liste des ingrédients'!$G$5:$G$98,MATCH($B147,'Liste des ingrédients'!$B$5:$B$98,0)),"?"))</f>
        <v>kg</v>
      </c>
      <c r="G147" s="27" t="n">
        <f aca="false">IF(OR($B147="",$C147=""),0,IFERROR($C147*E147/IF(OR(F147="kg",F147="L"),1000,1),0))</f>
        <v>0.1</v>
      </c>
      <c r="H147" s="25" t="str">
        <f aca="false">IF(AND($A147&lt;&gt;"",$A147='Fiche plat'!$C$3),COUNTIF($A$5:$A147,'Fiche plat'!$C$3),"")</f>
        <v/>
      </c>
      <c r="I147" s="0" t="str">
        <f aca="false">IF($A147="","",IFERROR(INDEX(Plats!$D$5:$D$48,MATCH($A147,Plats!$I$5:$I$48,0)),""))</f>
        <v>Oui</v>
      </c>
    </row>
    <row r="148" customFormat="false" ht="15" hidden="false" customHeight="false" outlineLevel="0" collapsed="false">
      <c r="A148" s="25" t="s">
        <v>147</v>
      </c>
      <c r="B148" s="25" t="s">
        <v>143</v>
      </c>
      <c r="C148" s="34" t="n">
        <v>0.29</v>
      </c>
      <c r="D148" s="25" t="str">
        <f aca="false">IF($B148="","",IF(F148="kg","g",IF(F148="L","ml",F148)))</f>
        <v>forfait</v>
      </c>
      <c r="E148" s="27" t="n">
        <f aca="false">IF($B148="","",IFERROR(INDEX('Liste des ingrédients'!$H$5:$H$98,MATCH($B148,'Liste des ingrédients'!$B$5:$B$98,0)),0))</f>
        <v>0.2</v>
      </c>
      <c r="F148" s="25" t="str">
        <f aca="false">IF($B148="","",IFERROR(INDEX('Liste des ingrédients'!$G$5:$G$98,MATCH($B148,'Liste des ingrédients'!$B$5:$B$98,0)),"?"))</f>
        <v>forfait</v>
      </c>
      <c r="G148" s="27" t="n">
        <f aca="false">IF(OR($B148="",$C148=""),0,IFERROR($C148*E148/IF(OR(F148="kg",F148="L"),1000,1),0))</f>
        <v>0.058</v>
      </c>
      <c r="H148" s="25" t="str">
        <f aca="false">IF(AND($A148&lt;&gt;"",$A148='Fiche plat'!$C$3),COUNTIF($A$5:$A148,'Fiche plat'!$C$3),"")</f>
        <v/>
      </c>
      <c r="I148" s="0" t="str">
        <f aca="false">IF($A148="","",IFERROR(INDEX(Plats!$D$5:$D$48,MATCH($A148,Plats!$I$5:$I$48,0)),""))</f>
        <v>Oui</v>
      </c>
    </row>
    <row r="149" customFormat="false" ht="15" hidden="false" customHeight="false" outlineLevel="0" collapsed="false">
      <c r="A149" s="25" t="s">
        <v>147</v>
      </c>
      <c r="B149" s="25" t="s">
        <v>101</v>
      </c>
      <c r="C149" s="34" t="n">
        <v>75</v>
      </c>
      <c r="D149" s="25" t="str">
        <f aca="false">IF($B149="","",IF(F149="kg","g",IF(F149="L","ml",F149)))</f>
        <v>ml</v>
      </c>
      <c r="E149" s="27" t="n">
        <f aca="false">IF($B149="","",IFERROR(INDEX('Liste des ingrédients'!$H$5:$H$98,MATCH($B149,'Liste des ingrédients'!$B$5:$B$98,0)),0))</f>
        <v>12.5</v>
      </c>
      <c r="F149" s="25" t="str">
        <f aca="false">IF($B149="","",IFERROR(INDEX('Liste des ingrédients'!$G$5:$G$98,MATCH($B149,'Liste des ingrédients'!$B$5:$B$98,0)),"?"))</f>
        <v>L</v>
      </c>
      <c r="G149" s="27" t="n">
        <f aca="false">IF(OR($B149="",$C149=""),0,IFERROR($C149*E149/IF(OR(F149="kg",F149="L"),1000,1),0))</f>
        <v>0.9375</v>
      </c>
      <c r="H149" s="25" t="str">
        <f aca="false">IF(AND($A149&lt;&gt;"",$A149='Fiche plat'!$C$3),COUNTIF($A$5:$A149,'Fiche plat'!$C$3),"")</f>
        <v/>
      </c>
      <c r="I149" s="0" t="str">
        <f aca="false">IF($A149="","",IFERROR(INDEX(Plats!$D$5:$D$48,MATCH($A149,Plats!$I$5:$I$48,0)),""))</f>
        <v>Oui</v>
      </c>
    </row>
    <row r="150" customFormat="false" ht="15" hidden="false" customHeight="false" outlineLevel="0" collapsed="false">
      <c r="A150" s="25" t="s">
        <v>147</v>
      </c>
      <c r="B150" s="25" t="s">
        <v>102</v>
      </c>
      <c r="C150" s="34" t="n">
        <v>9</v>
      </c>
      <c r="D150" s="25" t="str">
        <f aca="false">IF($B150="","",IF(F150="kg","g",IF(F150="L","ml",F150)))</f>
        <v>g</v>
      </c>
      <c r="E150" s="27" t="n">
        <f aca="false">IF($B150="","",IFERROR(INDEX('Liste des ingrédients'!$H$5:$H$98,MATCH($B150,'Liste des ingrédients'!$B$5:$B$98,0)),0))</f>
        <v>0.8</v>
      </c>
      <c r="F150" s="25" t="str">
        <f aca="false">IF($B150="","",IFERROR(INDEX('Liste des ingrédients'!$G$5:$G$98,MATCH($B150,'Liste des ingrédients'!$B$5:$B$98,0)),"?"))</f>
        <v>kg</v>
      </c>
      <c r="G150" s="27" t="n">
        <f aca="false">IF(OR($B150="",$C150=""),0,IFERROR($C150*E150/IF(OR(F150="kg",F150="L"),1000,1),0))</f>
        <v>0.0072</v>
      </c>
      <c r="H150" s="25" t="str">
        <f aca="false">IF(AND($A150&lt;&gt;"",$A150='Fiche plat'!$C$3),COUNTIF($A$5:$A150,'Fiche plat'!$C$3),"")</f>
        <v/>
      </c>
      <c r="I150" s="0" t="str">
        <f aca="false">IF($A150="","",IFERROR(INDEX(Plats!$D$5:$D$48,MATCH($A150,Plats!$I$5:$I$48,0)),""))</f>
        <v>Oui</v>
      </c>
    </row>
    <row r="151" customFormat="false" ht="15" hidden="false" customHeight="false" outlineLevel="0" collapsed="false">
      <c r="A151" s="25" t="s">
        <v>147</v>
      </c>
      <c r="B151" s="25" t="s">
        <v>103</v>
      </c>
      <c r="C151" s="34" t="n">
        <v>1</v>
      </c>
      <c r="D151" s="25" t="str">
        <f aca="false">IF($B151="","",IF(F151="kg","g",IF(F151="L","ml",F151)))</f>
        <v>g</v>
      </c>
      <c r="E151" s="27" t="n">
        <f aca="false">IF($B151="","",IFERROR(INDEX('Liste des ingrédients'!$H$5:$H$98,MATCH($B151,'Liste des ingrédients'!$B$5:$B$98,0)),0))</f>
        <v>50</v>
      </c>
      <c r="F151" s="25" t="str">
        <f aca="false">IF($B151="","",IFERROR(INDEX('Liste des ingrédients'!$G$5:$G$98,MATCH($B151,'Liste des ingrédients'!$B$5:$B$98,0)),"?"))</f>
        <v>kg</v>
      </c>
      <c r="G151" s="27" t="n">
        <f aca="false">IF(OR($B151="",$C151=""),0,IFERROR($C151*E151/IF(OR(F151="kg",F151="L"),1000,1),0))</f>
        <v>0.05</v>
      </c>
      <c r="H151" s="25" t="str">
        <f aca="false">IF(AND($A151&lt;&gt;"",$A151='Fiche plat'!$C$3),COUNTIF($A$5:$A151,'Fiche plat'!$C$3),"")</f>
        <v/>
      </c>
      <c r="I151" s="0" t="str">
        <f aca="false">IF($A151="","",IFERROR(INDEX(Plats!$D$5:$D$48,MATCH($A151,Plats!$I$5:$I$48,0)),""))</f>
        <v>Oui</v>
      </c>
    </row>
    <row r="152" customFormat="false" ht="15" hidden="false" customHeight="false" outlineLevel="0" collapsed="false">
      <c r="A152" s="22" t="s">
        <v>149</v>
      </c>
      <c r="B152" s="22" t="s">
        <v>106</v>
      </c>
      <c r="C152" s="35" t="n">
        <v>400</v>
      </c>
      <c r="D152" s="22" t="str">
        <f aca="false">IF($B152="","",IF(F152="kg","g",IF(F152="L","ml",F152)))</f>
        <v>g</v>
      </c>
      <c r="E152" s="24" t="n">
        <f aca="false">IF($B152="","",IFERROR(INDEX('Liste des ingrédients'!$H$5:$H$98,MATCH($B152,'Liste des ingrédients'!$B$5:$B$98,0)),0))</f>
        <v>2.5</v>
      </c>
      <c r="F152" s="22" t="str">
        <f aca="false">IF($B152="","",IFERROR(INDEX('Liste des ingrédients'!$G$5:$G$98,MATCH($B152,'Liste des ingrédients'!$B$5:$B$98,0)),"?"))</f>
        <v>kg</v>
      </c>
      <c r="G152" s="24" t="n">
        <f aca="false">IF(OR($B152="",$C152=""),0,IFERROR($C152*E152/IF(OR(F152="kg",F152="L"),1000,1),0))</f>
        <v>1</v>
      </c>
      <c r="H152" s="22" t="str">
        <f aca="false">IF(AND($A152&lt;&gt;"",$A152='Fiche plat'!$C$3),COUNTIF($A$5:$A152,'Fiche plat'!$C$3),"")</f>
        <v/>
      </c>
      <c r="I152" s="0" t="str">
        <f aca="false">IF($A152="","",IFERROR(INDEX(Plats!$D$5:$D$48,MATCH($A152,Plats!$I$5:$I$48,0)),""))</f>
        <v>Oui</v>
      </c>
    </row>
    <row r="153" customFormat="false" ht="15" hidden="false" customHeight="false" outlineLevel="0" collapsed="false">
      <c r="A153" s="22" t="s">
        <v>149</v>
      </c>
      <c r="B153" s="22" t="s">
        <v>108</v>
      </c>
      <c r="C153" s="35" t="n">
        <v>450</v>
      </c>
      <c r="D153" s="22" t="str">
        <f aca="false">IF($B153="","",IF(F153="kg","g",IF(F153="L","ml",F153)))</f>
        <v>g</v>
      </c>
      <c r="E153" s="24" t="n">
        <f aca="false">IF($B153="","",IFERROR(INDEX('Liste des ingrédients'!$H$5:$H$98,MATCH($B153,'Liste des ingrédients'!$B$5:$B$98,0)),0))</f>
        <v>2</v>
      </c>
      <c r="F153" s="22" t="str">
        <f aca="false">IF($B153="","",IFERROR(INDEX('Liste des ingrédients'!$G$5:$G$98,MATCH($B153,'Liste des ingrédients'!$B$5:$B$98,0)),"?"))</f>
        <v>kg</v>
      </c>
      <c r="G153" s="24" t="n">
        <f aca="false">IF(OR($B153="",$C153=""),0,IFERROR($C153*E153/IF(OR(F153="kg",F153="L"),1000,1),0))</f>
        <v>0.9</v>
      </c>
      <c r="H153" s="22" t="str">
        <f aca="false">IF(AND($A153&lt;&gt;"",$A153='Fiche plat'!$C$3),COUNTIF($A$5:$A153,'Fiche plat'!$C$3),"")</f>
        <v/>
      </c>
      <c r="I153" s="0" t="str">
        <f aca="false">IF($A153="","",IFERROR(INDEX(Plats!$D$5:$D$48,MATCH($A153,Plats!$I$5:$I$48,0)),""))</f>
        <v>Oui</v>
      </c>
    </row>
    <row r="154" customFormat="false" ht="15" hidden="false" customHeight="false" outlineLevel="0" collapsed="false">
      <c r="A154" s="22" t="s">
        <v>149</v>
      </c>
      <c r="B154" s="22" t="s">
        <v>91</v>
      </c>
      <c r="C154" s="35" t="n">
        <v>300</v>
      </c>
      <c r="D154" s="22" t="str">
        <f aca="false">IF($B154="","",IF(F154="kg","g",IF(F154="L","ml",F154)))</f>
        <v>g</v>
      </c>
      <c r="E154" s="24" t="n">
        <f aca="false">IF($B154="","",IFERROR(INDEX('Liste des ingrédients'!$H$5:$H$98,MATCH($B154,'Liste des ingrédients'!$B$5:$B$98,0)),0))</f>
        <v>2</v>
      </c>
      <c r="F154" s="22" t="str">
        <f aca="false">IF($B154="","",IFERROR(INDEX('Liste des ingrédients'!$G$5:$G$98,MATCH($B154,'Liste des ingrédients'!$B$5:$B$98,0)),"?"))</f>
        <v>kg</v>
      </c>
      <c r="G154" s="24" t="n">
        <f aca="false">IF(OR($B154="",$C154=""),0,IFERROR($C154*E154/IF(OR(F154="kg",F154="L"),1000,1),0))</f>
        <v>0.6</v>
      </c>
      <c r="H154" s="22" t="str">
        <f aca="false">IF(AND($A154&lt;&gt;"",$A154='Fiche plat'!$C$3),COUNTIF($A$5:$A154,'Fiche plat'!$C$3),"")</f>
        <v/>
      </c>
      <c r="I154" s="0" t="str">
        <f aca="false">IF($A154="","",IFERROR(INDEX(Plats!$D$5:$D$48,MATCH($A154,Plats!$I$5:$I$48,0)),""))</f>
        <v>Oui</v>
      </c>
    </row>
    <row r="155" customFormat="false" ht="15" hidden="false" customHeight="false" outlineLevel="0" collapsed="false">
      <c r="A155" s="22" t="s">
        <v>149</v>
      </c>
      <c r="B155" s="22" t="s">
        <v>150</v>
      </c>
      <c r="C155" s="35" t="n">
        <v>300</v>
      </c>
      <c r="D155" s="22" t="str">
        <f aca="false">IF($B155="","",IF(F155="kg","g",IF(F155="L","ml",F155)))</f>
        <v>g</v>
      </c>
      <c r="E155" s="24" t="n">
        <f aca="false">IF($B155="","",IFERROR(INDEX('Liste des ingrédients'!$H$5:$H$98,MATCH($B155,'Liste des ingrédients'!$B$5:$B$98,0)),0))</f>
        <v>1.5</v>
      </c>
      <c r="F155" s="22" t="str">
        <f aca="false">IF($B155="","",IFERROR(INDEX('Liste des ingrédients'!$G$5:$G$98,MATCH($B155,'Liste des ingrédients'!$B$5:$B$98,0)),"?"))</f>
        <v>kg</v>
      </c>
      <c r="G155" s="24" t="n">
        <f aca="false">IF(OR($B155="",$C155=""),0,IFERROR($C155*E155/IF(OR(F155="kg",F155="L"),1000,1),0))</f>
        <v>0.45</v>
      </c>
      <c r="H155" s="22" t="str">
        <f aca="false">IF(AND($A155&lt;&gt;"",$A155='Fiche plat'!$C$3),COUNTIF($A$5:$A155,'Fiche plat'!$C$3),"")</f>
        <v/>
      </c>
      <c r="I155" s="0" t="str">
        <f aca="false">IF($A155="","",IFERROR(INDEX(Plats!$D$5:$D$48,MATCH($A155,Plats!$I$5:$I$48,0)),""))</f>
        <v>Oui</v>
      </c>
    </row>
    <row r="156" customFormat="false" ht="15" hidden="false" customHeight="false" outlineLevel="0" collapsed="false">
      <c r="A156" s="22" t="s">
        <v>149</v>
      </c>
      <c r="B156" s="22" t="s">
        <v>92</v>
      </c>
      <c r="C156" s="35" t="n">
        <v>500</v>
      </c>
      <c r="D156" s="22" t="str">
        <f aca="false">IF($B156="","",IF(F156="kg","g",IF(F156="L","ml",F156)))</f>
        <v>g</v>
      </c>
      <c r="E156" s="24" t="n">
        <f aca="false">IF($B156="","",IFERROR(INDEX('Liste des ingrédients'!$H$5:$H$98,MATCH($B156,'Liste des ingrédients'!$B$5:$B$98,0)),0))</f>
        <v>2.5</v>
      </c>
      <c r="F156" s="22" t="str">
        <f aca="false">IF($B156="","",IFERROR(INDEX('Liste des ingrédients'!$G$5:$G$98,MATCH($B156,'Liste des ingrédients'!$B$5:$B$98,0)),"?"))</f>
        <v>kg</v>
      </c>
      <c r="G156" s="24" t="n">
        <f aca="false">IF(OR($B156="",$C156=""),0,IFERROR($C156*E156/IF(OR(F156="kg",F156="L"),1000,1),0))</f>
        <v>1.25</v>
      </c>
      <c r="H156" s="22" t="str">
        <f aca="false">IF(AND($A156&lt;&gt;"",$A156='Fiche plat'!$C$3),COUNTIF($A$5:$A156,'Fiche plat'!$C$3),"")</f>
        <v/>
      </c>
      <c r="I156" s="0" t="str">
        <f aca="false">IF($A156="","",IFERROR(INDEX(Plats!$D$5:$D$48,MATCH($A156,Plats!$I$5:$I$48,0)),""))</f>
        <v>Oui</v>
      </c>
    </row>
    <row r="157" customFormat="false" ht="15" hidden="false" customHeight="false" outlineLevel="0" collapsed="false">
      <c r="A157" s="22" t="s">
        <v>149</v>
      </c>
      <c r="B157" s="22" t="s">
        <v>118</v>
      </c>
      <c r="C157" s="35" t="n">
        <v>500</v>
      </c>
      <c r="D157" s="22" t="str">
        <f aca="false">IF($B157="","",IF(F157="kg","g",IF(F157="L","ml",F157)))</f>
        <v>ml</v>
      </c>
      <c r="E157" s="24" t="n">
        <f aca="false">IF($B157="","",IFERROR(INDEX('Liste des ingrédients'!$H$5:$H$98,MATCH($B157,'Liste des ingrédients'!$B$5:$B$98,0)),0))</f>
        <v>6</v>
      </c>
      <c r="F157" s="22" t="str">
        <f aca="false">IF($B157="","",IFERROR(INDEX('Liste des ingrédients'!$G$5:$G$98,MATCH($B157,'Liste des ingrédients'!$B$5:$B$98,0)),"?"))</f>
        <v>L</v>
      </c>
      <c r="G157" s="24" t="n">
        <f aca="false">IF(OR($B157="",$C157=""),0,IFERROR($C157*E157/IF(OR(F157="kg",F157="L"),1000,1),0))</f>
        <v>3</v>
      </c>
      <c r="H157" s="22" t="str">
        <f aca="false">IF(AND($A157&lt;&gt;"",$A157='Fiche plat'!$C$3),COUNTIF($A$5:$A157,'Fiche plat'!$C$3),"")</f>
        <v/>
      </c>
      <c r="I157" s="0" t="str">
        <f aca="false">IF($A157="","",IFERROR(INDEX(Plats!$D$5:$D$48,MATCH($A157,Plats!$I$5:$I$48,0)),""))</f>
        <v>Oui</v>
      </c>
    </row>
    <row r="158" customFormat="false" ht="15" hidden="false" customHeight="false" outlineLevel="0" collapsed="false">
      <c r="A158" s="22" t="s">
        <v>149</v>
      </c>
      <c r="B158" s="22" t="s">
        <v>110</v>
      </c>
      <c r="C158" s="35" t="n">
        <v>4</v>
      </c>
      <c r="D158" s="22" t="str">
        <f aca="false">IF($B158="","",IF(F158="kg","g",IF(F158="L","ml",F158)))</f>
        <v>œuf</v>
      </c>
      <c r="E158" s="24" t="n">
        <f aca="false">IF($B158="","",IFERROR(INDEX('Liste des ingrédients'!$H$5:$H$98,MATCH($B158,'Liste des ingrédients'!$B$5:$B$98,0)),0))</f>
        <v>0.3</v>
      </c>
      <c r="F158" s="22" t="str">
        <f aca="false">IF($B158="","",IFERROR(INDEX('Liste des ingrédients'!$G$5:$G$98,MATCH($B158,'Liste des ingrédients'!$B$5:$B$98,0)),"?"))</f>
        <v>œuf</v>
      </c>
      <c r="G158" s="24" t="n">
        <f aca="false">IF(OR($B158="",$C158=""),0,IFERROR($C158*E158/IF(OR(F158="kg",F158="L"),1000,1),0))</f>
        <v>1.2</v>
      </c>
      <c r="H158" s="22" t="str">
        <f aca="false">IF(AND($A158&lt;&gt;"",$A158='Fiche plat'!$C$3),COUNTIF($A$5:$A158,'Fiche plat'!$C$3),"")</f>
        <v/>
      </c>
      <c r="I158" s="0" t="str">
        <f aca="false">IF($A158="","",IFERROR(INDEX(Plats!$D$5:$D$48,MATCH($A158,Plats!$I$5:$I$48,0)),""))</f>
        <v>Oui</v>
      </c>
    </row>
    <row r="159" customFormat="false" ht="15" hidden="false" customHeight="false" outlineLevel="0" collapsed="false">
      <c r="A159" s="22" t="s">
        <v>149</v>
      </c>
      <c r="B159" s="22" t="s">
        <v>109</v>
      </c>
      <c r="C159" s="35" t="n">
        <v>0</v>
      </c>
      <c r="D159" s="22" t="str">
        <f aca="false">IF($B159="","",IF(F159="kg","g",IF(F159="L","ml",F159)))</f>
        <v>boîte</v>
      </c>
      <c r="E159" s="24" t="n">
        <f aca="false">IF($B159="","",IFERROR(INDEX('Liste des ingrédients'!$H$5:$H$98,MATCH($B159,'Liste des ingrédients'!$B$5:$B$98,0)),0))</f>
        <v>4.5</v>
      </c>
      <c r="F159" s="22" t="str">
        <f aca="false">IF($B159="","",IFERROR(INDEX('Liste des ingrédients'!$G$5:$G$98,MATCH($B159,'Liste des ingrédients'!$B$5:$B$98,0)),"?"))</f>
        <v>boîte</v>
      </c>
      <c r="G159" s="24" t="n">
        <f aca="false">IF(OR($B159="",$C159=""),0,IFERROR($C159*E159/IF(OR(F159="kg",F159="L"),1000,1),0))</f>
        <v>0</v>
      </c>
      <c r="H159" s="22" t="str">
        <f aca="false">IF(AND($A159&lt;&gt;"",$A159='Fiche plat'!$C$3),COUNTIF($A$5:$A159,'Fiche plat'!$C$3),"")</f>
        <v/>
      </c>
      <c r="I159" s="0" t="str">
        <f aca="false">IF($A159="","",IFERROR(INDEX(Plats!$D$5:$D$48,MATCH($A159,Plats!$I$5:$I$48,0)),""))</f>
        <v>Oui</v>
      </c>
    </row>
    <row r="160" customFormat="false" ht="15" hidden="false" customHeight="false" outlineLevel="0" collapsed="false">
      <c r="A160" s="22" t="s">
        <v>149</v>
      </c>
      <c r="B160" s="22" t="s">
        <v>116</v>
      </c>
      <c r="C160" s="35" t="n">
        <v>0.25</v>
      </c>
      <c r="D160" s="22" t="str">
        <f aca="false">IF($B160="","",IF(F160="kg","g",IF(F160="L","ml",F160)))</f>
        <v>botte</v>
      </c>
      <c r="E160" s="24" t="n">
        <f aca="false">IF($B160="","",IFERROR(INDEX('Liste des ingrédients'!$H$5:$H$98,MATCH($B160,'Liste des ingrédients'!$B$5:$B$98,0)),0))</f>
        <v>0.8</v>
      </c>
      <c r="F160" s="22" t="str">
        <f aca="false">IF($B160="","",IFERROR(INDEX('Liste des ingrédients'!$G$5:$G$98,MATCH($B160,'Liste des ingrédients'!$B$5:$B$98,0)),"?"))</f>
        <v>botte</v>
      </c>
      <c r="G160" s="24" t="n">
        <f aca="false">IF(OR($B160="",$C160=""),0,IFERROR($C160*E160/IF(OR(F160="kg",F160="L"),1000,1),0))</f>
        <v>0.2</v>
      </c>
      <c r="H160" s="22" t="str">
        <f aca="false">IF(AND($A160&lt;&gt;"",$A160='Fiche plat'!$C$3),COUNTIF($A$5:$A160,'Fiche plat'!$C$3),"")</f>
        <v/>
      </c>
      <c r="I160" s="0" t="str">
        <f aca="false">IF($A160="","",IFERROR(INDEX(Plats!$D$5:$D$48,MATCH($A160,Plats!$I$5:$I$48,0)),""))</f>
        <v>Oui</v>
      </c>
    </row>
    <row r="161" customFormat="false" ht="15" hidden="false" customHeight="false" outlineLevel="0" collapsed="false">
      <c r="A161" s="22" t="s">
        <v>149</v>
      </c>
      <c r="B161" s="22" t="s">
        <v>93</v>
      </c>
      <c r="C161" s="35" t="n">
        <v>100</v>
      </c>
      <c r="D161" s="22" t="str">
        <f aca="false">IF($B161="","",IF(F161="kg","g",IF(F161="L","ml",F161)))</f>
        <v>g</v>
      </c>
      <c r="E161" s="24" t="n">
        <f aca="false">IF($B161="","",IFERROR(INDEX('Liste des ingrédients'!$H$5:$H$98,MATCH($B161,'Liste des ingrédients'!$B$5:$B$98,0)),0))</f>
        <v>1.2</v>
      </c>
      <c r="F161" s="22" t="str">
        <f aca="false">IF($B161="","",IFERROR(INDEX('Liste des ingrédients'!$G$5:$G$98,MATCH($B161,'Liste des ingrédients'!$B$5:$B$98,0)),"?"))</f>
        <v>kg</v>
      </c>
      <c r="G161" s="24" t="n">
        <f aca="false">IF(OR($B161="",$C161=""),0,IFERROR($C161*E161/IF(OR(F161="kg",F161="L"),1000,1),0))</f>
        <v>0.12</v>
      </c>
      <c r="H161" s="22" t="str">
        <f aca="false">IF(AND($A161&lt;&gt;"",$A161='Fiche plat'!$C$3),COUNTIF($A$5:$A161,'Fiche plat'!$C$3),"")</f>
        <v/>
      </c>
      <c r="I161" s="0" t="str">
        <f aca="false">IF($A161="","",IFERROR(INDEX(Plats!$D$5:$D$48,MATCH($A161,Plats!$I$5:$I$48,0)),""))</f>
        <v>Oui</v>
      </c>
    </row>
    <row r="162" customFormat="false" ht="15" hidden="false" customHeight="false" outlineLevel="0" collapsed="false">
      <c r="A162" s="22" t="s">
        <v>149</v>
      </c>
      <c r="B162" s="22" t="s">
        <v>117</v>
      </c>
      <c r="C162" s="35" t="n">
        <v>2.5</v>
      </c>
      <c r="D162" s="22" t="str">
        <f aca="false">IF($B162="","",IF(F162="kg","g",IF(F162="L","ml",F162)))</f>
        <v>g</v>
      </c>
      <c r="E162" s="24" t="n">
        <f aca="false">IF($B162="","",IFERROR(INDEX('Liste des ingrédients'!$H$5:$H$98,MATCH($B162,'Liste des ingrédients'!$B$5:$B$98,0)),0))</f>
        <v>33</v>
      </c>
      <c r="F162" s="22" t="str">
        <f aca="false">IF($B162="","",IFERROR(INDEX('Liste des ingrédients'!$G$5:$G$98,MATCH($B162,'Liste des ingrédients'!$B$5:$B$98,0)),"?"))</f>
        <v>kg</v>
      </c>
      <c r="G162" s="24" t="n">
        <f aca="false">IF(OR($B162="",$C162=""),0,IFERROR($C162*E162/IF(OR(F162="kg",F162="L"),1000,1),0))</f>
        <v>0.0825</v>
      </c>
      <c r="H162" s="22" t="str">
        <f aca="false">IF(AND($A162&lt;&gt;"",$A162='Fiche plat'!$C$3),COUNTIF($A$5:$A162,'Fiche plat'!$C$3),"")</f>
        <v/>
      </c>
      <c r="I162" s="0" t="str">
        <f aca="false">IF($A162="","",IFERROR(INDEX(Plats!$D$5:$D$48,MATCH($A162,Plats!$I$5:$I$48,0)),""))</f>
        <v>Oui</v>
      </c>
    </row>
    <row r="163" customFormat="false" ht="15" hidden="false" customHeight="false" outlineLevel="0" collapsed="false">
      <c r="A163" s="22" t="s">
        <v>149</v>
      </c>
      <c r="B163" s="22" t="s">
        <v>102</v>
      </c>
      <c r="C163" s="35" t="n">
        <v>6</v>
      </c>
      <c r="D163" s="22" t="str">
        <f aca="false">IF($B163="","",IF(F163="kg","g",IF(F163="L","ml",F163)))</f>
        <v>g</v>
      </c>
      <c r="E163" s="24" t="n">
        <f aca="false">IF($B163="","",IFERROR(INDEX('Liste des ingrédients'!$H$5:$H$98,MATCH($B163,'Liste des ingrédients'!$B$5:$B$98,0)),0))</f>
        <v>0.8</v>
      </c>
      <c r="F163" s="22" t="str">
        <f aca="false">IF($B163="","",IFERROR(INDEX('Liste des ingrédients'!$G$5:$G$98,MATCH($B163,'Liste des ingrédients'!$B$5:$B$98,0)),"?"))</f>
        <v>kg</v>
      </c>
      <c r="G163" s="24" t="n">
        <f aca="false">IF(OR($B163="",$C163=""),0,IFERROR($C163*E163/IF(OR(F163="kg",F163="L"),1000,1),0))</f>
        <v>0.0048</v>
      </c>
      <c r="H163" s="22" t="str">
        <f aca="false">IF(AND($A163&lt;&gt;"",$A163='Fiche plat'!$C$3),COUNTIF($A$5:$A163,'Fiche plat'!$C$3),"")</f>
        <v/>
      </c>
      <c r="I163" s="0" t="str">
        <f aca="false">IF($A163="","",IFERROR(INDEX(Plats!$D$5:$D$48,MATCH($A163,Plats!$I$5:$I$48,0)),""))</f>
        <v>Oui</v>
      </c>
    </row>
    <row r="164" customFormat="false" ht="15" hidden="false" customHeight="false" outlineLevel="0" collapsed="false">
      <c r="A164" s="22" t="s">
        <v>149</v>
      </c>
      <c r="B164" s="22" t="s">
        <v>103</v>
      </c>
      <c r="C164" s="35" t="n">
        <v>1</v>
      </c>
      <c r="D164" s="22" t="str">
        <f aca="false">IF($B164="","",IF(F164="kg","g",IF(F164="L","ml",F164)))</f>
        <v>g</v>
      </c>
      <c r="E164" s="24" t="n">
        <f aca="false">IF($B164="","",IFERROR(INDEX('Liste des ingrédients'!$H$5:$H$98,MATCH($B164,'Liste des ingrédients'!$B$5:$B$98,0)),0))</f>
        <v>50</v>
      </c>
      <c r="F164" s="22" t="str">
        <f aca="false">IF($B164="","",IFERROR(INDEX('Liste des ingrédients'!$G$5:$G$98,MATCH($B164,'Liste des ingrédients'!$B$5:$B$98,0)),"?"))</f>
        <v>kg</v>
      </c>
      <c r="G164" s="24" t="n">
        <f aca="false">IF(OR($B164="",$C164=""),0,IFERROR($C164*E164/IF(OR(F164="kg",F164="L"),1000,1),0))</f>
        <v>0.05</v>
      </c>
      <c r="H164" s="22" t="str">
        <f aca="false">IF(AND($A164&lt;&gt;"",$A164='Fiche plat'!$C$3),COUNTIF($A$5:$A164,'Fiche plat'!$C$3),"")</f>
        <v/>
      </c>
      <c r="I164" s="0" t="str">
        <f aca="false">IF($A164="","",IFERROR(INDEX(Plats!$D$5:$D$48,MATCH($A164,Plats!$I$5:$I$48,0)),""))</f>
        <v>Oui</v>
      </c>
    </row>
    <row r="165" customFormat="false" ht="15" hidden="false" customHeight="false" outlineLevel="0" collapsed="false">
      <c r="A165" s="25" t="s">
        <v>151</v>
      </c>
      <c r="B165" s="25" t="s">
        <v>56</v>
      </c>
      <c r="C165" s="34" t="n">
        <v>250</v>
      </c>
      <c r="D165" s="25" t="str">
        <f aca="false">IF($B165="","",IF(F165="kg","g",IF(F165="L","ml",F165)))</f>
        <v>g</v>
      </c>
      <c r="E165" s="27" t="n">
        <f aca="false">IF($B165="","",IFERROR(INDEX('Liste des ingrédients'!$H$5:$H$98,MATCH($B165,'Liste des ingrédients'!$B$5:$B$98,0)),0))</f>
        <v>6</v>
      </c>
      <c r="F165" s="25" t="str">
        <f aca="false">IF($B165="","",IFERROR(INDEX('Liste des ingrédients'!$G$5:$G$98,MATCH($B165,'Liste des ingrédients'!$B$5:$B$98,0)),"?"))</f>
        <v>kg</v>
      </c>
      <c r="G165" s="27" t="n">
        <f aca="false">IF(OR($B165="",$C165=""),0,IFERROR($C165*E165/IF(OR(F165="kg",F165="L"),1000,1),0))</f>
        <v>1.5</v>
      </c>
      <c r="H165" s="25" t="str">
        <f aca="false">IF(AND($A165&lt;&gt;"",$A165='Fiche plat'!$C$3),COUNTIF($A$5:$A165,'Fiche plat'!$C$3),"")</f>
        <v/>
      </c>
      <c r="I165" s="0" t="str">
        <f aca="false">IF($A165="","",IFERROR(INDEX(Plats!$D$5:$D$48,MATCH($A165,Plats!$I$5:$I$48,0)),""))</f>
        <v>Oui</v>
      </c>
    </row>
    <row r="166" customFormat="false" ht="15" hidden="false" customHeight="false" outlineLevel="0" collapsed="false">
      <c r="A166" s="25" t="s">
        <v>151</v>
      </c>
      <c r="B166" s="25" t="s">
        <v>152</v>
      </c>
      <c r="C166" s="34" t="n">
        <v>300</v>
      </c>
      <c r="D166" s="25" t="str">
        <f aca="false">IF($B166="","",IF(F166="kg","g",IF(F166="L","ml",F166)))</f>
        <v>g</v>
      </c>
      <c r="E166" s="27" t="n">
        <f aca="false">IF($B166="","",IFERROR(INDEX('Liste des ingrédients'!$H$5:$H$98,MATCH($B166,'Liste des ingrédients'!$B$5:$B$98,0)),0))</f>
        <v>45</v>
      </c>
      <c r="F166" s="25" t="str">
        <f aca="false">IF($B166="","",IFERROR(INDEX('Liste des ingrédients'!$G$5:$G$98,MATCH($B166,'Liste des ingrédients'!$B$5:$B$98,0)),"?"))</f>
        <v>kg</v>
      </c>
      <c r="G166" s="27" t="n">
        <f aca="false">IF(OR($B166="",$C166=""),0,IFERROR($C166*E166/IF(OR(F166="kg",F166="L"),1000,1),0))</f>
        <v>13.5</v>
      </c>
      <c r="H166" s="25" t="str">
        <f aca="false">IF(AND($A166&lt;&gt;"",$A166='Fiche plat'!$C$3),COUNTIF($A$5:$A166,'Fiche plat'!$C$3),"")</f>
        <v/>
      </c>
      <c r="I166" s="0" t="str">
        <f aca="false">IF($A166="","",IFERROR(INDEX(Plats!$D$5:$D$48,MATCH($A166,Plats!$I$5:$I$48,0)),""))</f>
        <v>Oui</v>
      </c>
    </row>
    <row r="167" customFormat="false" ht="15" hidden="false" customHeight="false" outlineLevel="0" collapsed="false">
      <c r="A167" s="25" t="s">
        <v>151</v>
      </c>
      <c r="B167" s="25" t="s">
        <v>93</v>
      </c>
      <c r="C167" s="34" t="n">
        <v>100</v>
      </c>
      <c r="D167" s="25" t="str">
        <f aca="false">IF($B167="","",IF(F167="kg","g",IF(F167="L","ml",F167)))</f>
        <v>g</v>
      </c>
      <c r="E167" s="27" t="n">
        <f aca="false">IF($B167="","",IFERROR(INDEX('Liste des ingrédients'!$H$5:$H$98,MATCH($B167,'Liste des ingrédients'!$B$5:$B$98,0)),0))</f>
        <v>1.2</v>
      </c>
      <c r="F167" s="25" t="str">
        <f aca="false">IF($B167="","",IFERROR(INDEX('Liste des ingrédients'!$G$5:$G$98,MATCH($B167,'Liste des ingrédients'!$B$5:$B$98,0)),"?"))</f>
        <v>kg</v>
      </c>
      <c r="G167" s="27" t="n">
        <f aca="false">IF(OR($B167="",$C167=""),0,IFERROR($C167*E167/IF(OR(F167="kg",F167="L"),1000,1),0))</f>
        <v>0.12</v>
      </c>
      <c r="H167" s="25" t="str">
        <f aca="false">IF(AND($A167&lt;&gt;"",$A167='Fiche plat'!$C$3),COUNTIF($A$5:$A167,'Fiche plat'!$C$3),"")</f>
        <v/>
      </c>
      <c r="I167" s="0" t="str">
        <f aca="false">IF($A167="","",IFERROR(INDEX(Plats!$D$5:$D$48,MATCH($A167,Plats!$I$5:$I$48,0)),""))</f>
        <v>Oui</v>
      </c>
    </row>
    <row r="168" customFormat="false" ht="15" hidden="false" customHeight="false" outlineLevel="0" collapsed="false">
      <c r="A168" s="25" t="s">
        <v>151</v>
      </c>
      <c r="B168" s="25" t="s">
        <v>90</v>
      </c>
      <c r="C168" s="34" t="n">
        <v>200</v>
      </c>
      <c r="D168" s="25" t="str">
        <f aca="false">IF($B168="","",IF(F168="kg","g",IF(F168="L","ml",F168)))</f>
        <v>g</v>
      </c>
      <c r="E168" s="27" t="n">
        <f aca="false">IF($B168="","",IFERROR(INDEX('Liste des ingrédients'!$H$5:$H$98,MATCH($B168,'Liste des ingrédients'!$B$5:$B$98,0)),0))</f>
        <v>2.5</v>
      </c>
      <c r="F168" s="25" t="str">
        <f aca="false">IF($B168="","",IFERROR(INDEX('Liste des ingrédients'!$G$5:$G$98,MATCH($B168,'Liste des ingrédients'!$B$5:$B$98,0)),"?"))</f>
        <v>kg</v>
      </c>
      <c r="G168" s="27" t="n">
        <f aca="false">IF(OR($B168="",$C168=""),0,IFERROR($C168*E168/IF(OR(F168="kg",F168="L"),1000,1),0))</f>
        <v>0.5</v>
      </c>
      <c r="H168" s="25" t="str">
        <f aca="false">IF(AND($A168&lt;&gt;"",$A168='Fiche plat'!$C$3),COUNTIF($A$5:$A168,'Fiche plat'!$C$3),"")</f>
        <v/>
      </c>
      <c r="I168" s="0" t="str">
        <f aca="false">IF($A168="","",IFERROR(INDEX(Plats!$D$5:$D$48,MATCH($A168,Plats!$I$5:$I$48,0)),""))</f>
        <v>Oui</v>
      </c>
    </row>
    <row r="169" customFormat="false" ht="15" hidden="false" customHeight="false" outlineLevel="0" collapsed="false">
      <c r="A169" s="25" t="s">
        <v>151</v>
      </c>
      <c r="B169" s="25" t="s">
        <v>91</v>
      </c>
      <c r="C169" s="34" t="n">
        <v>300</v>
      </c>
      <c r="D169" s="25" t="str">
        <f aca="false">IF($B169="","",IF(F169="kg","g",IF(F169="L","ml",F169)))</f>
        <v>g</v>
      </c>
      <c r="E169" s="27" t="n">
        <f aca="false">IF($B169="","",IFERROR(INDEX('Liste des ingrédients'!$H$5:$H$98,MATCH($B169,'Liste des ingrédients'!$B$5:$B$98,0)),0))</f>
        <v>2</v>
      </c>
      <c r="F169" s="25" t="str">
        <f aca="false">IF($B169="","",IFERROR(INDEX('Liste des ingrédients'!$G$5:$G$98,MATCH($B169,'Liste des ingrédients'!$B$5:$B$98,0)),"?"))</f>
        <v>kg</v>
      </c>
      <c r="G169" s="27" t="n">
        <f aca="false">IF(OR($B169="",$C169=""),0,IFERROR($C169*E169/IF(OR(F169="kg",F169="L"),1000,1),0))</f>
        <v>0.6</v>
      </c>
      <c r="H169" s="25" t="str">
        <f aca="false">IF(AND($A169&lt;&gt;"",$A169='Fiche plat'!$C$3),COUNTIF($A$5:$A169,'Fiche plat'!$C$3),"")</f>
        <v/>
      </c>
      <c r="I169" s="0" t="str">
        <f aca="false">IF($A169="","",IFERROR(INDEX(Plats!$D$5:$D$48,MATCH($A169,Plats!$I$5:$I$48,0)),""))</f>
        <v>Oui</v>
      </c>
    </row>
    <row r="170" customFormat="false" ht="15" hidden="false" customHeight="false" outlineLevel="0" collapsed="false">
      <c r="A170" s="25" t="s">
        <v>151</v>
      </c>
      <c r="B170" s="25" t="s">
        <v>128</v>
      </c>
      <c r="C170" s="34" t="n">
        <v>100</v>
      </c>
      <c r="D170" s="25" t="str">
        <f aca="false">IF($B170="","",IF(F170="kg","g",IF(F170="L","ml",F170)))</f>
        <v>g</v>
      </c>
      <c r="E170" s="27" t="n">
        <f aca="false">IF($B170="","",IFERROR(INDEX('Liste des ingrédients'!$H$5:$H$98,MATCH($B170,'Liste des ingrédients'!$B$5:$B$98,0)),0))</f>
        <v>3.4</v>
      </c>
      <c r="F170" s="25" t="str">
        <f aca="false">IF($B170="","",IFERROR(INDEX('Liste des ingrédients'!$G$5:$G$98,MATCH($B170,'Liste des ingrédients'!$B$5:$B$98,0)),"?"))</f>
        <v>kg</v>
      </c>
      <c r="G170" s="27" t="n">
        <f aca="false">IF(OR($B170="",$C170=""),0,IFERROR($C170*E170/IF(OR(F170="kg",F170="L"),1000,1),0))</f>
        <v>0.34</v>
      </c>
      <c r="H170" s="25" t="str">
        <f aca="false">IF(AND($A170&lt;&gt;"",$A170='Fiche plat'!$C$3),COUNTIF($A$5:$A170,'Fiche plat'!$C$3),"")</f>
        <v/>
      </c>
      <c r="I170" s="0" t="str">
        <f aca="false">IF($A170="","",IFERROR(INDEX(Plats!$D$5:$D$48,MATCH($A170,Plats!$I$5:$I$48,0)),""))</f>
        <v>Oui</v>
      </c>
    </row>
    <row r="171" customFormat="false" ht="15" hidden="false" customHeight="false" outlineLevel="0" collapsed="false">
      <c r="A171" s="25" t="s">
        <v>151</v>
      </c>
      <c r="B171" s="25" t="s">
        <v>122</v>
      </c>
      <c r="C171" s="34" t="n">
        <v>100</v>
      </c>
      <c r="D171" s="25" t="str">
        <f aca="false">IF($B171="","",IF(F171="kg","g",IF(F171="L","ml",F171)))</f>
        <v>g</v>
      </c>
      <c r="E171" s="27" t="n">
        <f aca="false">IF($B171="","",IFERROR(INDEX('Liste des ingrédients'!$H$5:$H$98,MATCH($B171,'Liste des ingrédients'!$B$5:$B$98,0)),0))</f>
        <v>6</v>
      </c>
      <c r="F171" s="25" t="str">
        <f aca="false">IF($B171="","",IFERROR(INDEX('Liste des ingrédients'!$G$5:$G$98,MATCH($B171,'Liste des ingrédients'!$B$5:$B$98,0)),"?"))</f>
        <v>kg</v>
      </c>
      <c r="G171" s="27" t="n">
        <f aca="false">IF(OR($B171="",$C171=""),0,IFERROR($C171*E171/IF(OR(F171="kg",F171="L"),1000,1),0))</f>
        <v>0.6</v>
      </c>
      <c r="H171" s="25" t="str">
        <f aca="false">IF(AND($A171&lt;&gt;"",$A171='Fiche plat'!$C$3),COUNTIF($A$5:$A171,'Fiche plat'!$C$3),"")</f>
        <v/>
      </c>
      <c r="I171" s="0" t="str">
        <f aca="false">IF($A171="","",IFERROR(INDEX(Plats!$D$5:$D$48,MATCH($A171,Plats!$I$5:$I$48,0)),""))</f>
        <v>Oui</v>
      </c>
    </row>
    <row r="172" customFormat="false" ht="15" hidden="false" customHeight="false" outlineLevel="0" collapsed="false">
      <c r="A172" s="25" t="s">
        <v>151</v>
      </c>
      <c r="B172" s="25" t="s">
        <v>95</v>
      </c>
      <c r="C172" s="34" t="n">
        <v>40</v>
      </c>
      <c r="D172" s="25" t="str">
        <f aca="false">IF($B172="","",IF(F172="kg","g",IF(F172="L","ml",F172)))</f>
        <v>g</v>
      </c>
      <c r="E172" s="27" t="n">
        <f aca="false">IF($B172="","",IFERROR(INDEX('Liste des ingrédients'!$H$5:$H$98,MATCH($B172,'Liste des ingrédients'!$B$5:$B$98,0)),0))</f>
        <v>9</v>
      </c>
      <c r="F172" s="25" t="str">
        <f aca="false">IF($B172="","",IFERROR(INDEX('Liste des ingrédients'!$G$5:$G$98,MATCH($B172,'Liste des ingrédients'!$B$5:$B$98,0)),"?"))</f>
        <v>kg</v>
      </c>
      <c r="G172" s="27" t="n">
        <f aca="false">IF(OR($B172="",$C172=""),0,IFERROR($C172*E172/IF(OR(F172="kg",F172="L"),1000,1),0))</f>
        <v>0.36</v>
      </c>
      <c r="H172" s="25" t="str">
        <f aca="false">IF(AND($A172&lt;&gt;"",$A172='Fiche plat'!$C$3),COUNTIF($A$5:$A172,'Fiche plat'!$C$3),"")</f>
        <v/>
      </c>
      <c r="I172" s="0" t="str">
        <f aca="false">IF($A172="","",IFERROR(INDEX(Plats!$D$5:$D$48,MATCH($A172,Plats!$I$5:$I$48,0)),""))</f>
        <v>Oui</v>
      </c>
    </row>
    <row r="173" customFormat="false" ht="15" hidden="false" customHeight="false" outlineLevel="0" collapsed="false">
      <c r="A173" s="25" t="s">
        <v>151</v>
      </c>
      <c r="B173" s="25" t="s">
        <v>96</v>
      </c>
      <c r="C173" s="34" t="n">
        <v>8</v>
      </c>
      <c r="D173" s="25" t="str">
        <f aca="false">IF($B173="","",IF(F173="kg","g",IF(F173="L","ml",F173)))</f>
        <v>g</v>
      </c>
      <c r="E173" s="27" t="n">
        <f aca="false">IF($B173="","",IFERROR(INDEX('Liste des ingrédients'!$H$5:$H$98,MATCH($B173,'Liste des ingrédients'!$B$5:$B$98,0)),0))</f>
        <v>11</v>
      </c>
      <c r="F173" s="25" t="str">
        <f aca="false">IF($B173="","",IFERROR(INDEX('Liste des ingrédients'!$G$5:$G$98,MATCH($B173,'Liste des ingrédients'!$B$5:$B$98,0)),"?"))</f>
        <v>kg</v>
      </c>
      <c r="G173" s="27" t="n">
        <f aca="false">IF(OR($B173="",$C173=""),0,IFERROR($C173*E173/IF(OR(F173="kg",F173="L"),1000,1),0))</f>
        <v>0.088</v>
      </c>
      <c r="H173" s="25" t="str">
        <f aca="false">IF(AND($A173&lt;&gt;"",$A173='Fiche plat'!$C$3),COUNTIF($A$5:$A173,'Fiche plat'!$C$3),"")</f>
        <v/>
      </c>
      <c r="I173" s="0" t="str">
        <f aca="false">IF($A173="","",IFERROR(INDEX(Plats!$D$5:$D$48,MATCH($A173,Plats!$I$5:$I$48,0)),""))</f>
        <v>Oui</v>
      </c>
    </row>
    <row r="174" customFormat="false" ht="15" hidden="false" customHeight="false" outlineLevel="0" collapsed="false">
      <c r="A174" s="25" t="s">
        <v>151</v>
      </c>
      <c r="B174" s="25" t="s">
        <v>117</v>
      </c>
      <c r="C174" s="34" t="n">
        <v>2.5</v>
      </c>
      <c r="D174" s="25" t="str">
        <f aca="false">IF($B174="","",IF(F174="kg","g",IF(F174="L","ml",F174)))</f>
        <v>g</v>
      </c>
      <c r="E174" s="27" t="n">
        <f aca="false">IF($B174="","",IFERROR(INDEX('Liste des ingrédients'!$H$5:$H$98,MATCH($B174,'Liste des ingrédients'!$B$5:$B$98,0)),0))</f>
        <v>33</v>
      </c>
      <c r="F174" s="25" t="str">
        <f aca="false">IF($B174="","",IFERROR(INDEX('Liste des ingrédients'!$G$5:$G$98,MATCH($B174,'Liste des ingrédients'!$B$5:$B$98,0)),"?"))</f>
        <v>kg</v>
      </c>
      <c r="G174" s="27" t="n">
        <f aca="false">IF(OR($B174="",$C174=""),0,IFERROR($C174*E174/IF(OR(F174="kg",F174="L"),1000,1),0))</f>
        <v>0.0825</v>
      </c>
      <c r="H174" s="25" t="str">
        <f aca="false">IF(AND($A174&lt;&gt;"",$A174='Fiche plat'!$C$3),COUNTIF($A$5:$A174,'Fiche plat'!$C$3),"")</f>
        <v/>
      </c>
      <c r="I174" s="0" t="str">
        <f aca="false">IF($A174="","",IFERROR(INDEX(Plats!$D$5:$D$48,MATCH($A174,Plats!$I$5:$I$48,0)),""))</f>
        <v>Oui</v>
      </c>
    </row>
    <row r="175" customFormat="false" ht="15" hidden="false" customHeight="false" outlineLevel="0" collapsed="false">
      <c r="A175" s="25" t="s">
        <v>151</v>
      </c>
      <c r="B175" s="25" t="s">
        <v>98</v>
      </c>
      <c r="C175" s="34" t="n">
        <v>3</v>
      </c>
      <c r="D175" s="25" t="str">
        <f aca="false">IF($B175="","",IF(F175="kg","g",IF(F175="L","ml",F175)))</f>
        <v>g</v>
      </c>
      <c r="E175" s="27" t="n">
        <f aca="false">IF($B175="","",IFERROR(INDEX('Liste des ingrédients'!$H$5:$H$98,MATCH($B175,'Liste des ingrédients'!$B$5:$B$98,0)),0))</f>
        <v>40</v>
      </c>
      <c r="F175" s="25" t="str">
        <f aca="false">IF($B175="","",IFERROR(INDEX('Liste des ingrédients'!$G$5:$G$98,MATCH($B175,'Liste des ingrédients'!$B$5:$B$98,0)),"?"))</f>
        <v>kg</v>
      </c>
      <c r="G175" s="27" t="n">
        <f aca="false">IF(OR($B175="",$C175=""),0,IFERROR($C175*E175/IF(OR(F175="kg",F175="L"),1000,1),0))</f>
        <v>0.12</v>
      </c>
      <c r="H175" s="25" t="str">
        <f aca="false">IF(AND($A175&lt;&gt;"",$A175='Fiche plat'!$C$3),COUNTIF($A$5:$A175,'Fiche plat'!$C$3),"")</f>
        <v/>
      </c>
      <c r="I175" s="0" t="str">
        <f aca="false">IF($A175="","",IFERROR(INDEX(Plats!$D$5:$D$48,MATCH($A175,Plats!$I$5:$I$48,0)),""))</f>
        <v>Oui</v>
      </c>
    </row>
    <row r="176" customFormat="false" ht="15" hidden="false" customHeight="false" outlineLevel="0" collapsed="false">
      <c r="A176" s="25" t="s">
        <v>151</v>
      </c>
      <c r="B176" s="25" t="s">
        <v>124</v>
      </c>
      <c r="C176" s="34" t="n">
        <v>2.5</v>
      </c>
      <c r="D176" s="25" t="str">
        <f aca="false">IF($B176="","",IF(F176="kg","g",IF(F176="L","ml",F176)))</f>
        <v>g</v>
      </c>
      <c r="E176" s="27" t="n">
        <f aca="false">IF($B176="","",IFERROR(INDEX('Liste des ingrédients'!$H$5:$H$98,MATCH($B176,'Liste des ingrédients'!$B$5:$B$98,0)),0))</f>
        <v>40</v>
      </c>
      <c r="F176" s="25" t="str">
        <f aca="false">IF($B176="","",IFERROR(INDEX('Liste des ingrédients'!$G$5:$G$98,MATCH($B176,'Liste des ingrédients'!$B$5:$B$98,0)),"?"))</f>
        <v>kg</v>
      </c>
      <c r="G176" s="27" t="n">
        <f aca="false">IF(OR($B176="",$C176=""),0,IFERROR($C176*E176/IF(OR(F176="kg",F176="L"),1000,1),0))</f>
        <v>0.1</v>
      </c>
      <c r="H176" s="25" t="str">
        <f aca="false">IF(AND($A176&lt;&gt;"",$A176='Fiche plat'!$C$3),COUNTIF($A$5:$A176,'Fiche plat'!$C$3),"")</f>
        <v/>
      </c>
      <c r="I176" s="0" t="str">
        <f aca="false">IF($A176="","",IFERROR(INDEX(Plats!$D$5:$D$48,MATCH($A176,Plats!$I$5:$I$48,0)),""))</f>
        <v>Oui</v>
      </c>
    </row>
    <row r="177" customFormat="false" ht="15" hidden="false" customHeight="false" outlineLevel="0" collapsed="false">
      <c r="A177" s="25" t="s">
        <v>151</v>
      </c>
      <c r="B177" s="25" t="s">
        <v>116</v>
      </c>
      <c r="C177" s="34" t="n">
        <v>0.25</v>
      </c>
      <c r="D177" s="25" t="str">
        <f aca="false">IF($B177="","",IF(F177="kg","g",IF(F177="L","ml",F177)))</f>
        <v>botte</v>
      </c>
      <c r="E177" s="27" t="n">
        <f aca="false">IF($B177="","",IFERROR(INDEX('Liste des ingrédients'!$H$5:$H$98,MATCH($B177,'Liste des ingrédients'!$B$5:$B$98,0)),0))</f>
        <v>0.8</v>
      </c>
      <c r="F177" s="25" t="str">
        <f aca="false">IF($B177="","",IFERROR(INDEX('Liste des ingrédients'!$G$5:$G$98,MATCH($B177,'Liste des ingrédients'!$B$5:$B$98,0)),"?"))</f>
        <v>botte</v>
      </c>
      <c r="G177" s="27" t="n">
        <f aca="false">IF(OR($B177="",$C177=""),0,IFERROR($C177*E177/IF(OR(F177="kg",F177="L"),1000,1),0))</f>
        <v>0.2</v>
      </c>
      <c r="H177" s="25" t="str">
        <f aca="false">IF(AND($A177&lt;&gt;"",$A177='Fiche plat'!$C$3),COUNTIF($A$5:$A177,'Fiche plat'!$C$3),"")</f>
        <v/>
      </c>
      <c r="I177" s="0" t="str">
        <f aca="false">IF($A177="","",IFERROR(INDEX(Plats!$D$5:$D$48,MATCH($A177,Plats!$I$5:$I$48,0)),""))</f>
        <v>Oui</v>
      </c>
    </row>
    <row r="178" customFormat="false" ht="15" hidden="false" customHeight="false" outlineLevel="0" collapsed="false">
      <c r="A178" s="25" t="s">
        <v>151</v>
      </c>
      <c r="B178" s="25" t="s">
        <v>101</v>
      </c>
      <c r="C178" s="34" t="n">
        <v>60</v>
      </c>
      <c r="D178" s="25" t="str">
        <f aca="false">IF($B178="","",IF(F178="kg","g",IF(F178="L","ml",F178)))</f>
        <v>ml</v>
      </c>
      <c r="E178" s="27" t="n">
        <f aca="false">IF($B178="","",IFERROR(INDEX('Liste des ingrédients'!$H$5:$H$98,MATCH($B178,'Liste des ingrédients'!$B$5:$B$98,0)),0))</f>
        <v>12.5</v>
      </c>
      <c r="F178" s="25" t="str">
        <f aca="false">IF($B178="","",IFERROR(INDEX('Liste des ingrédients'!$G$5:$G$98,MATCH($B178,'Liste des ingrédients'!$B$5:$B$98,0)),"?"))</f>
        <v>L</v>
      </c>
      <c r="G178" s="27" t="n">
        <f aca="false">IF(OR($B178="",$C178=""),0,IFERROR($C178*E178/IF(OR(F178="kg",F178="L"),1000,1),0))</f>
        <v>0.75</v>
      </c>
      <c r="H178" s="25" t="str">
        <f aca="false">IF(AND($A178&lt;&gt;"",$A178='Fiche plat'!$C$3),COUNTIF($A$5:$A178,'Fiche plat'!$C$3),"")</f>
        <v/>
      </c>
      <c r="I178" s="0" t="str">
        <f aca="false">IF($A178="","",IFERROR(INDEX(Plats!$D$5:$D$48,MATCH($A178,Plats!$I$5:$I$48,0)),""))</f>
        <v>Oui</v>
      </c>
    </row>
    <row r="179" customFormat="false" ht="15" hidden="false" customHeight="false" outlineLevel="0" collapsed="false">
      <c r="A179" s="25" t="s">
        <v>151</v>
      </c>
      <c r="B179" s="25" t="s">
        <v>102</v>
      </c>
      <c r="C179" s="34" t="n">
        <v>9</v>
      </c>
      <c r="D179" s="25" t="str">
        <f aca="false">IF($B179="","",IF(F179="kg","g",IF(F179="L","ml",F179)))</f>
        <v>g</v>
      </c>
      <c r="E179" s="27" t="n">
        <f aca="false">IF($B179="","",IFERROR(INDEX('Liste des ingrédients'!$H$5:$H$98,MATCH($B179,'Liste des ingrédients'!$B$5:$B$98,0)),0))</f>
        <v>0.8</v>
      </c>
      <c r="F179" s="25" t="str">
        <f aca="false">IF($B179="","",IFERROR(INDEX('Liste des ingrédients'!$G$5:$G$98,MATCH($B179,'Liste des ingrédients'!$B$5:$B$98,0)),"?"))</f>
        <v>kg</v>
      </c>
      <c r="G179" s="27" t="n">
        <f aca="false">IF(OR($B179="",$C179=""),0,IFERROR($C179*E179/IF(OR(F179="kg",F179="L"),1000,1),0))</f>
        <v>0.0072</v>
      </c>
      <c r="H179" s="25" t="str">
        <f aca="false">IF(AND($A179&lt;&gt;"",$A179='Fiche plat'!$C$3),COUNTIF($A$5:$A179,'Fiche plat'!$C$3),"")</f>
        <v/>
      </c>
      <c r="I179" s="0" t="str">
        <f aca="false">IF($A179="","",IFERROR(INDEX(Plats!$D$5:$D$48,MATCH($A179,Plats!$I$5:$I$48,0)),""))</f>
        <v>Oui</v>
      </c>
    </row>
    <row r="180" customFormat="false" ht="15" hidden="false" customHeight="false" outlineLevel="0" collapsed="false">
      <c r="A180" s="25" t="s">
        <v>151</v>
      </c>
      <c r="B180" s="25" t="s">
        <v>103</v>
      </c>
      <c r="C180" s="34" t="n">
        <v>1</v>
      </c>
      <c r="D180" s="25" t="str">
        <f aca="false">IF($B180="","",IF(F180="kg","g",IF(F180="L","ml",F180)))</f>
        <v>g</v>
      </c>
      <c r="E180" s="27" t="n">
        <f aca="false">IF($B180="","",IFERROR(INDEX('Liste des ingrédients'!$H$5:$H$98,MATCH($B180,'Liste des ingrédients'!$B$5:$B$98,0)),0))</f>
        <v>50</v>
      </c>
      <c r="F180" s="25" t="str">
        <f aca="false">IF($B180="","",IFERROR(INDEX('Liste des ingrédients'!$G$5:$G$98,MATCH($B180,'Liste des ingrédients'!$B$5:$B$98,0)),"?"))</f>
        <v>kg</v>
      </c>
      <c r="G180" s="27" t="n">
        <f aca="false">IF(OR($B180="",$C180=""),0,IFERROR($C180*E180/IF(OR(F180="kg",F180="L"),1000,1),0))</f>
        <v>0.05</v>
      </c>
      <c r="H180" s="25" t="str">
        <f aca="false">IF(AND($A180&lt;&gt;"",$A180='Fiche plat'!$C$3),COUNTIF($A$5:$A180,'Fiche plat'!$C$3),"")</f>
        <v/>
      </c>
      <c r="I180" s="0" t="str">
        <f aca="false">IF($A180="","",IFERROR(INDEX(Plats!$D$5:$D$48,MATCH($A180,Plats!$I$5:$I$48,0)),""))</f>
        <v>Oui</v>
      </c>
    </row>
    <row r="181" customFormat="false" ht="15" hidden="false" customHeight="false" outlineLevel="0" collapsed="false">
      <c r="A181" s="22" t="s">
        <v>153</v>
      </c>
      <c r="B181" s="22" t="s">
        <v>154</v>
      </c>
      <c r="C181" s="35" t="n">
        <v>600</v>
      </c>
      <c r="D181" s="22" t="str">
        <f aca="false">IF($B181="","",IF(F181="kg","g",IF(F181="L","ml",F181)))</f>
        <v>g</v>
      </c>
      <c r="E181" s="24" t="n">
        <f aca="false">IF($B181="","",IFERROR(INDEX('Liste des ingrédients'!$H$5:$H$98,MATCH($B181,'Liste des ingrédients'!$B$5:$B$98,0)),0))</f>
        <v>19.4</v>
      </c>
      <c r="F181" s="22" t="str">
        <f aca="false">IF($B181="","",IFERROR(INDEX('Liste des ingrédients'!$G$5:$G$98,MATCH($B181,'Liste des ingrédients'!$B$5:$B$98,0)),"?"))</f>
        <v>kg</v>
      </c>
      <c r="G181" s="24" t="n">
        <f aca="false">IF(OR($B181="",$C181=""),0,IFERROR($C181*E181/IF(OR(F181="kg",F181="L"),1000,1),0))</f>
        <v>11.64</v>
      </c>
      <c r="H181" s="22" t="str">
        <f aca="false">IF(AND($A181&lt;&gt;"",$A181='Fiche plat'!$C$3),COUNTIF($A$5:$A181,'Fiche plat'!$C$3),"")</f>
        <v/>
      </c>
      <c r="I181" s="0" t="str">
        <f aca="false">IF($A181="","",IFERROR(INDEX(Plats!$D$5:$D$48,MATCH($A181,Plats!$I$5:$I$48,0)),""))</f>
        <v>Oui</v>
      </c>
    </row>
    <row r="182" customFormat="false" ht="15" hidden="false" customHeight="false" outlineLevel="0" collapsed="false">
      <c r="A182" s="22" t="s">
        <v>153</v>
      </c>
      <c r="B182" s="22" t="s">
        <v>101</v>
      </c>
      <c r="C182" s="35" t="n">
        <v>75</v>
      </c>
      <c r="D182" s="22" t="str">
        <f aca="false">IF($B182="","",IF(F182="kg","g",IF(F182="L","ml",F182)))</f>
        <v>ml</v>
      </c>
      <c r="E182" s="24" t="n">
        <f aca="false">IF($B182="","",IFERROR(INDEX('Liste des ingrédients'!$H$5:$H$98,MATCH($B182,'Liste des ingrédients'!$B$5:$B$98,0)),0))</f>
        <v>12.5</v>
      </c>
      <c r="F182" s="22" t="str">
        <f aca="false">IF($B182="","",IFERROR(INDEX('Liste des ingrédients'!$G$5:$G$98,MATCH($B182,'Liste des ingrédients'!$B$5:$B$98,0)),"?"))</f>
        <v>L</v>
      </c>
      <c r="G182" s="24" t="n">
        <f aca="false">IF(OR($B182="",$C182=""),0,IFERROR($C182*E182/IF(OR(F182="kg",F182="L"),1000,1),0))</f>
        <v>0.9375</v>
      </c>
      <c r="H182" s="22" t="str">
        <f aca="false">IF(AND($A182&lt;&gt;"",$A182='Fiche plat'!$C$3),COUNTIF($A$5:$A182,'Fiche plat'!$C$3),"")</f>
        <v/>
      </c>
      <c r="I182" s="0" t="str">
        <f aca="false">IF($A182="","",IFERROR(INDEX(Plats!$D$5:$D$48,MATCH($A182,Plats!$I$5:$I$48,0)),""))</f>
        <v>Oui</v>
      </c>
    </row>
    <row r="183" customFormat="false" ht="15" hidden="false" customHeight="false" outlineLevel="0" collapsed="false">
      <c r="A183" s="22" t="s">
        <v>153</v>
      </c>
      <c r="B183" s="22" t="s">
        <v>104</v>
      </c>
      <c r="C183" s="35" t="n">
        <v>150</v>
      </c>
      <c r="D183" s="22" t="str">
        <f aca="false">IF($B183="","",IF(F183="kg","g",IF(F183="L","ml",F183)))</f>
        <v>g</v>
      </c>
      <c r="E183" s="24" t="n">
        <f aca="false">IF($B183="","",IFERROR(INDEX('Liste des ingrédients'!$H$5:$H$98,MATCH($B183,'Liste des ingrédients'!$B$5:$B$98,0)),0))</f>
        <v>3</v>
      </c>
      <c r="F183" s="22" t="str">
        <f aca="false">IF($B183="","",IFERROR(INDEX('Liste des ingrédients'!$G$5:$G$98,MATCH($B183,'Liste des ingrédients'!$B$5:$B$98,0)),"?"))</f>
        <v>kg</v>
      </c>
      <c r="G183" s="24" t="n">
        <f aca="false">IF(OR($B183="",$C183=""),0,IFERROR($C183*E183/IF(OR(F183="kg",F183="L"),1000,1),0))</f>
        <v>0.45</v>
      </c>
      <c r="H183" s="22" t="str">
        <f aca="false">IF(AND($A183&lt;&gt;"",$A183='Fiche plat'!$C$3),COUNTIF($A$5:$A183,'Fiche plat'!$C$3),"")</f>
        <v/>
      </c>
      <c r="I183" s="0" t="str">
        <f aca="false">IF($A183="","",IFERROR(INDEX(Plats!$D$5:$D$48,MATCH($A183,Plats!$I$5:$I$48,0)),""))</f>
        <v>Oui</v>
      </c>
    </row>
    <row r="184" customFormat="false" ht="15" hidden="false" customHeight="false" outlineLevel="0" collapsed="false">
      <c r="A184" s="22" t="s">
        <v>153</v>
      </c>
      <c r="B184" s="22" t="s">
        <v>97</v>
      </c>
      <c r="C184" s="35" t="n">
        <v>10</v>
      </c>
      <c r="D184" s="22" t="str">
        <f aca="false">IF($B184="","",IF(F184="kg","g",IF(F184="L","ml",F184)))</f>
        <v>g</v>
      </c>
      <c r="E184" s="24" t="n">
        <f aca="false">IF($B184="","",IFERROR(INDEX('Liste des ingrédients'!$H$5:$H$98,MATCH($B184,'Liste des ingrédients'!$B$5:$B$98,0)),0))</f>
        <v>15</v>
      </c>
      <c r="F184" s="22" t="str">
        <f aca="false">IF($B184="","",IFERROR(INDEX('Liste des ingrédients'!$G$5:$G$98,MATCH($B184,'Liste des ingrédients'!$B$5:$B$98,0)),"?"))</f>
        <v>kg</v>
      </c>
      <c r="G184" s="24" t="n">
        <f aca="false">IF(OR($B184="",$C184=""),0,IFERROR($C184*E184/IF(OR(F184="kg",F184="L"),1000,1),0))</f>
        <v>0.15</v>
      </c>
      <c r="H184" s="22" t="str">
        <f aca="false">IF(AND($A184&lt;&gt;"",$A184='Fiche plat'!$C$3),COUNTIF($A$5:$A184,'Fiche plat'!$C$3),"")</f>
        <v/>
      </c>
      <c r="I184" s="0" t="str">
        <f aca="false">IF($A184="","",IFERROR(INDEX(Plats!$D$5:$D$48,MATCH($A184,Plats!$I$5:$I$48,0)),""))</f>
        <v>Oui</v>
      </c>
    </row>
    <row r="185" customFormat="false" ht="15" hidden="false" customHeight="false" outlineLevel="0" collapsed="false">
      <c r="A185" s="22" t="s">
        <v>153</v>
      </c>
      <c r="B185" s="22" t="s">
        <v>117</v>
      </c>
      <c r="C185" s="35" t="n">
        <v>1.5</v>
      </c>
      <c r="D185" s="22" t="str">
        <f aca="false">IF($B185="","",IF(F185="kg","g",IF(F185="L","ml",F185)))</f>
        <v>g</v>
      </c>
      <c r="E185" s="24" t="n">
        <f aca="false">IF($B185="","",IFERROR(INDEX('Liste des ingrédients'!$H$5:$H$98,MATCH($B185,'Liste des ingrédients'!$B$5:$B$98,0)),0))</f>
        <v>33</v>
      </c>
      <c r="F185" s="22" t="str">
        <f aca="false">IF($B185="","",IFERROR(INDEX('Liste des ingrédients'!$G$5:$G$98,MATCH($B185,'Liste des ingrédients'!$B$5:$B$98,0)),"?"))</f>
        <v>kg</v>
      </c>
      <c r="G185" s="24" t="n">
        <f aca="false">IF(OR($B185="",$C185=""),0,IFERROR($C185*E185/IF(OR(F185="kg",F185="L"),1000,1),0))</f>
        <v>0.0495</v>
      </c>
      <c r="H185" s="22" t="str">
        <f aca="false">IF(AND($A185&lt;&gt;"",$A185='Fiche plat'!$C$3),COUNTIF($A$5:$A185,'Fiche plat'!$C$3),"")</f>
        <v/>
      </c>
      <c r="I185" s="0" t="str">
        <f aca="false">IF($A185="","",IFERROR(INDEX(Plats!$D$5:$D$48,MATCH($A185,Plats!$I$5:$I$48,0)),""))</f>
        <v>Oui</v>
      </c>
    </row>
    <row r="186" customFormat="false" ht="15" hidden="false" customHeight="false" outlineLevel="0" collapsed="false">
      <c r="A186" s="22" t="s">
        <v>153</v>
      </c>
      <c r="B186" s="22" t="s">
        <v>102</v>
      </c>
      <c r="C186" s="35" t="n">
        <v>15</v>
      </c>
      <c r="D186" s="22" t="str">
        <f aca="false">IF($B186="","",IF(F186="kg","g",IF(F186="L","ml",F186)))</f>
        <v>g</v>
      </c>
      <c r="E186" s="24" t="n">
        <f aca="false">IF($B186="","",IFERROR(INDEX('Liste des ingrédients'!$H$5:$H$98,MATCH($B186,'Liste des ingrédients'!$B$5:$B$98,0)),0))</f>
        <v>0.8</v>
      </c>
      <c r="F186" s="22" t="str">
        <f aca="false">IF($B186="","",IFERROR(INDEX('Liste des ingrédients'!$G$5:$G$98,MATCH($B186,'Liste des ingrédients'!$B$5:$B$98,0)),"?"))</f>
        <v>kg</v>
      </c>
      <c r="G186" s="24" t="n">
        <f aca="false">IF(OR($B186="",$C186=""),0,IFERROR($C186*E186/IF(OR(F186="kg",F186="L"),1000,1),0))</f>
        <v>0.012</v>
      </c>
      <c r="H186" s="22" t="str">
        <f aca="false">IF(AND($A186&lt;&gt;"",$A186='Fiche plat'!$C$3),COUNTIF($A$5:$A186,'Fiche plat'!$C$3),"")</f>
        <v/>
      </c>
      <c r="I186" s="0" t="str">
        <f aca="false">IF($A186="","",IFERROR(INDEX(Plats!$D$5:$D$48,MATCH($A186,Plats!$I$5:$I$48,0)),""))</f>
        <v>Oui</v>
      </c>
    </row>
    <row r="187" customFormat="false" ht="15" hidden="false" customHeight="false" outlineLevel="0" collapsed="false">
      <c r="A187" s="22" t="s">
        <v>153</v>
      </c>
      <c r="B187" s="22" t="s">
        <v>103</v>
      </c>
      <c r="C187" s="35" t="n">
        <v>1</v>
      </c>
      <c r="D187" s="22" t="str">
        <f aca="false">IF($B187="","",IF(F187="kg","g",IF(F187="L","ml",F187)))</f>
        <v>g</v>
      </c>
      <c r="E187" s="24" t="n">
        <f aca="false">IF($B187="","",IFERROR(INDEX('Liste des ingrédients'!$H$5:$H$98,MATCH($B187,'Liste des ingrédients'!$B$5:$B$98,0)),0))</f>
        <v>50</v>
      </c>
      <c r="F187" s="22" t="str">
        <f aca="false">IF($B187="","",IFERROR(INDEX('Liste des ingrédients'!$G$5:$G$98,MATCH($B187,'Liste des ingrédients'!$B$5:$B$98,0)),"?"))</f>
        <v>kg</v>
      </c>
      <c r="G187" s="24" t="n">
        <f aca="false">IF(OR($B187="",$C187=""),0,IFERROR($C187*E187/IF(OR(F187="kg",F187="L"),1000,1),0))</f>
        <v>0.05</v>
      </c>
      <c r="H187" s="22" t="str">
        <f aca="false">IF(AND($A187&lt;&gt;"",$A187='Fiche plat'!$C$3),COUNTIF($A$5:$A187,'Fiche plat'!$C$3),"")</f>
        <v/>
      </c>
      <c r="I187" s="0" t="str">
        <f aca="false">IF($A187="","",IFERROR(INDEX(Plats!$D$5:$D$48,MATCH($A187,Plats!$I$5:$I$48,0)),""))</f>
        <v>Oui</v>
      </c>
    </row>
    <row r="188" customFormat="false" ht="15" hidden="false" customHeight="false" outlineLevel="0" collapsed="false">
      <c r="A188" s="22" t="s">
        <v>153</v>
      </c>
      <c r="B188" s="22" t="s">
        <v>138</v>
      </c>
      <c r="C188" s="35" t="n">
        <v>1</v>
      </c>
      <c r="D188" s="22" t="str">
        <f aca="false">IF($B188="","",IF(F188="kg","g",IF(F188="L","ml",F188)))</f>
        <v>pièce</v>
      </c>
      <c r="E188" s="24" t="n">
        <f aca="false">IF($B188="","",IFERROR(INDEX('Liste des ingrédients'!$H$5:$H$98,MATCH($B188,'Liste des ingrédients'!$B$5:$B$98,0)),0))</f>
        <v>1</v>
      </c>
      <c r="F188" s="22" t="str">
        <f aca="false">IF($B188="","",IFERROR(INDEX('Liste des ingrédients'!$G$5:$G$98,MATCH($B188,'Liste des ingrédients'!$B$5:$B$98,0)),"?"))</f>
        <v>pièce</v>
      </c>
      <c r="G188" s="24" t="n">
        <f aca="false">IF(OR($B188="",$C188=""),0,IFERROR($C188*E188/IF(OR(F188="kg",F188="L"),1000,1),0))</f>
        <v>1</v>
      </c>
      <c r="H188" s="22" t="str">
        <f aca="false">IF(AND($A188&lt;&gt;"",$A188='Fiche plat'!$C$3),COUNTIF($A$5:$A188,'Fiche plat'!$C$3),"")</f>
        <v/>
      </c>
      <c r="I188" s="0" t="str">
        <f aca="false">IF($A188="","",IFERROR(INDEX(Plats!$D$5:$D$48,MATCH($A188,Plats!$I$5:$I$48,0)),""))</f>
        <v>Oui</v>
      </c>
    </row>
    <row r="189" customFormat="false" ht="15" hidden="false" customHeight="false" outlineLevel="0" collapsed="false">
      <c r="A189" s="22" t="s">
        <v>153</v>
      </c>
      <c r="B189" s="22" t="s">
        <v>108</v>
      </c>
      <c r="C189" s="35" t="n">
        <v>250</v>
      </c>
      <c r="D189" s="22" t="str">
        <f aca="false">IF($B189="","",IF(F189="kg","g",IF(F189="L","ml",F189)))</f>
        <v>g</v>
      </c>
      <c r="E189" s="24" t="n">
        <f aca="false">IF($B189="","",IFERROR(INDEX('Liste des ingrédients'!$H$5:$H$98,MATCH($B189,'Liste des ingrédients'!$B$5:$B$98,0)),0))</f>
        <v>2</v>
      </c>
      <c r="F189" s="22" t="str">
        <f aca="false">IF($B189="","",IFERROR(INDEX('Liste des ingrédients'!$G$5:$G$98,MATCH($B189,'Liste des ingrédients'!$B$5:$B$98,0)),"?"))</f>
        <v>kg</v>
      </c>
      <c r="G189" s="24" t="n">
        <f aca="false">IF(OR($B189="",$C189=""),0,IFERROR($C189*E189/IF(OR(F189="kg",F189="L"),1000,1),0))</f>
        <v>0.5</v>
      </c>
      <c r="H189" s="22" t="str">
        <f aca="false">IF(AND($A189&lt;&gt;"",$A189='Fiche plat'!$C$3),COUNTIF($A$5:$A189,'Fiche plat'!$C$3),"")</f>
        <v/>
      </c>
      <c r="I189" s="0" t="str">
        <f aca="false">IF($A189="","",IFERROR(INDEX(Plats!$D$5:$D$48,MATCH($A189,Plats!$I$5:$I$48,0)),""))</f>
        <v>Oui</v>
      </c>
    </row>
    <row r="190" customFormat="false" ht="15" hidden="false" customHeight="false" outlineLevel="0" collapsed="false">
      <c r="A190" s="22" t="s">
        <v>153</v>
      </c>
      <c r="B190" s="22" t="s">
        <v>139</v>
      </c>
      <c r="C190" s="35" t="n">
        <v>200</v>
      </c>
      <c r="D190" s="22" t="str">
        <f aca="false">IF($B190="","",IF(F190="kg","g",IF(F190="L","ml",F190)))</f>
        <v>g</v>
      </c>
      <c r="E190" s="24" t="n">
        <f aca="false">IF($B190="","",IFERROR(INDEX('Liste des ingrédients'!$H$5:$H$98,MATCH($B190,'Liste des ingrédients'!$B$5:$B$98,0)),0))</f>
        <v>2.5</v>
      </c>
      <c r="F190" s="22" t="str">
        <f aca="false">IF($B190="","",IFERROR(INDEX('Liste des ingrédients'!$G$5:$G$98,MATCH($B190,'Liste des ingrédients'!$B$5:$B$98,0)),"?"))</f>
        <v>kg</v>
      </c>
      <c r="G190" s="24" t="n">
        <f aca="false">IF(OR($B190="",$C190=""),0,IFERROR($C190*E190/IF(OR(F190="kg",F190="L"),1000,1),0))</f>
        <v>0.5</v>
      </c>
      <c r="H190" s="22" t="str">
        <f aca="false">IF(AND($A190&lt;&gt;"",$A190='Fiche plat'!$C$3),COUNTIF($A$5:$A190,'Fiche plat'!$C$3),"")</f>
        <v/>
      </c>
      <c r="I190" s="0" t="str">
        <f aca="false">IF($A190="","",IFERROR(INDEX(Plats!$D$5:$D$48,MATCH($A190,Plats!$I$5:$I$48,0)),""))</f>
        <v>Oui</v>
      </c>
    </row>
    <row r="191" customFormat="false" ht="15" hidden="false" customHeight="false" outlineLevel="0" collapsed="false">
      <c r="A191" s="22" t="s">
        <v>153</v>
      </c>
      <c r="B191" s="22" t="s">
        <v>93</v>
      </c>
      <c r="C191" s="35" t="n">
        <v>50</v>
      </c>
      <c r="D191" s="22" t="str">
        <f aca="false">IF($B191="","",IF(F191="kg","g",IF(F191="L","ml",F191)))</f>
        <v>g</v>
      </c>
      <c r="E191" s="24" t="n">
        <f aca="false">IF($B191="","",IFERROR(INDEX('Liste des ingrédients'!$H$5:$H$98,MATCH($B191,'Liste des ingrédients'!$B$5:$B$98,0)),0))</f>
        <v>1.2</v>
      </c>
      <c r="F191" s="22" t="str">
        <f aca="false">IF($B191="","",IFERROR(INDEX('Liste des ingrédients'!$G$5:$G$98,MATCH($B191,'Liste des ingrédients'!$B$5:$B$98,0)),"?"))</f>
        <v>kg</v>
      </c>
      <c r="G191" s="24" t="n">
        <f aca="false">IF(OR($B191="",$C191=""),0,IFERROR($C191*E191/IF(OR(F191="kg",F191="L"),1000,1),0))</f>
        <v>0.06</v>
      </c>
      <c r="H191" s="22" t="str">
        <f aca="false">IF(AND($A191&lt;&gt;"",$A191='Fiche plat'!$C$3),COUNTIF($A$5:$A191,'Fiche plat'!$C$3),"")</f>
        <v/>
      </c>
      <c r="I191" s="0" t="str">
        <f aca="false">IF($A191="","",IFERROR(INDEX(Plats!$D$5:$D$48,MATCH($A191,Plats!$I$5:$I$48,0)),""))</f>
        <v>Oui</v>
      </c>
    </row>
    <row r="192" customFormat="false" ht="15" hidden="false" customHeight="false" outlineLevel="0" collapsed="false">
      <c r="A192" s="22" t="s">
        <v>153</v>
      </c>
      <c r="B192" s="22" t="s">
        <v>92</v>
      </c>
      <c r="C192" s="35" t="n">
        <v>1000</v>
      </c>
      <c r="D192" s="22" t="str">
        <f aca="false">IF($B192="","",IF(F192="kg","g",IF(F192="L","ml",F192)))</f>
        <v>g</v>
      </c>
      <c r="E192" s="24" t="n">
        <f aca="false">IF($B192="","",IFERROR(INDEX('Liste des ingrédients'!$H$5:$H$98,MATCH($B192,'Liste des ingrédients'!$B$5:$B$98,0)),0))</f>
        <v>2.5</v>
      </c>
      <c r="F192" s="22" t="str">
        <f aca="false">IF($B192="","",IFERROR(INDEX('Liste des ingrédients'!$G$5:$G$98,MATCH($B192,'Liste des ingrédients'!$B$5:$B$98,0)),"?"))</f>
        <v>kg</v>
      </c>
      <c r="G192" s="24" t="n">
        <f aca="false">IF(OR($B192="",$C192=""),0,IFERROR($C192*E192/IF(OR(F192="kg",F192="L"),1000,1),0))</f>
        <v>2.5</v>
      </c>
      <c r="H192" s="22" t="str">
        <f aca="false">IF(AND($A192&lt;&gt;"",$A192='Fiche plat'!$C$3),COUNTIF($A$5:$A192,'Fiche plat'!$C$3),"")</f>
        <v/>
      </c>
      <c r="I192" s="0" t="str">
        <f aca="false">IF($A192="","",IFERROR(INDEX(Plats!$D$5:$D$48,MATCH($A192,Plats!$I$5:$I$48,0)),""))</f>
        <v>Oui</v>
      </c>
    </row>
    <row r="193" customFormat="false" ht="15" hidden="false" customHeight="false" outlineLevel="0" collapsed="false">
      <c r="A193" s="22" t="s">
        <v>153</v>
      </c>
      <c r="B193" s="22" t="s">
        <v>118</v>
      </c>
      <c r="C193" s="35" t="n">
        <v>1000</v>
      </c>
      <c r="D193" s="22" t="str">
        <f aca="false">IF($B193="","",IF(F193="kg","g",IF(F193="L","ml",F193)))</f>
        <v>ml</v>
      </c>
      <c r="E193" s="24" t="n">
        <f aca="false">IF($B193="","",IFERROR(INDEX('Liste des ingrédients'!$H$5:$H$98,MATCH($B193,'Liste des ingrédients'!$B$5:$B$98,0)),0))</f>
        <v>6</v>
      </c>
      <c r="F193" s="22" t="str">
        <f aca="false">IF($B193="","",IFERROR(INDEX('Liste des ingrédients'!$G$5:$G$98,MATCH($B193,'Liste des ingrédients'!$B$5:$B$98,0)),"?"))</f>
        <v>L</v>
      </c>
      <c r="G193" s="24" t="n">
        <f aca="false">IF(OR($B193="",$C193=""),0,IFERROR($C193*E193/IF(OR(F193="kg",F193="L"),1000,1),0))</f>
        <v>6</v>
      </c>
      <c r="H193" s="22" t="str">
        <f aca="false">IF(AND($A193&lt;&gt;"",$A193='Fiche plat'!$C$3),COUNTIF($A$5:$A193,'Fiche plat'!$C$3),"")</f>
        <v/>
      </c>
      <c r="I193" s="0" t="str">
        <f aca="false">IF($A193="","",IFERROR(INDEX(Plats!$D$5:$D$48,MATCH($A193,Plats!$I$5:$I$48,0)),""))</f>
        <v>Oui</v>
      </c>
    </row>
    <row r="194" customFormat="false" ht="15" hidden="false" customHeight="false" outlineLevel="0" collapsed="false">
      <c r="A194" s="25" t="s">
        <v>155</v>
      </c>
      <c r="B194" s="25" t="s">
        <v>156</v>
      </c>
      <c r="C194" s="34" t="n">
        <v>350</v>
      </c>
      <c r="D194" s="25" t="str">
        <f aca="false">IF($B194="","",IF(F194="kg","g",IF(F194="L","ml",F194)))</f>
        <v>g</v>
      </c>
      <c r="E194" s="27" t="n">
        <f aca="false">IF($B194="","",IFERROR(INDEX('Liste des ingrédients'!$H$5:$H$98,MATCH($B194,'Liste des ingrédients'!$B$5:$B$98,0)),0))</f>
        <v>5</v>
      </c>
      <c r="F194" s="25" t="str">
        <f aca="false">IF($B194="","",IFERROR(INDEX('Liste des ingrédients'!$G$5:$G$98,MATCH($B194,'Liste des ingrédients'!$B$5:$B$98,0)),"?"))</f>
        <v>kg</v>
      </c>
      <c r="G194" s="27" t="n">
        <f aca="false">IF(OR($B194="",$C194=""),0,IFERROR($C194*E194/IF(OR(F194="kg",F194="L"),1000,1),0))</f>
        <v>1.75</v>
      </c>
      <c r="H194" s="25" t="str">
        <f aca="false">IF(AND($A194&lt;&gt;"",$A194='Fiche plat'!$C$3),COUNTIF($A$5:$A194,'Fiche plat'!$C$3),"")</f>
        <v/>
      </c>
      <c r="I194" s="0" t="str">
        <f aca="false">IF($A194="","",IFERROR(INDEX(Plats!$D$5:$D$48,MATCH($A194,Plats!$I$5:$I$48,0)),""))</f>
        <v>Oui</v>
      </c>
    </row>
    <row r="195" customFormat="false" ht="15" hidden="false" customHeight="false" outlineLevel="0" collapsed="false">
      <c r="A195" s="25" t="s">
        <v>155</v>
      </c>
      <c r="B195" s="25" t="s">
        <v>114</v>
      </c>
      <c r="C195" s="34" t="n">
        <v>250</v>
      </c>
      <c r="D195" s="25" t="str">
        <f aca="false">IF($B195="","",IF(F195="kg","g",IF(F195="L","ml",F195)))</f>
        <v>g</v>
      </c>
      <c r="E195" s="27" t="n">
        <f aca="false">IF($B195="","",IFERROR(INDEX('Liste des ingrédients'!$H$5:$H$98,MATCH($B195,'Liste des ingrédients'!$B$5:$B$98,0)),0))</f>
        <v>19.4</v>
      </c>
      <c r="F195" s="25" t="str">
        <f aca="false">IF($B195="","",IFERROR(INDEX('Liste des ingrédients'!$G$5:$G$98,MATCH($B195,'Liste des ingrédients'!$B$5:$B$98,0)),"?"))</f>
        <v>kg</v>
      </c>
      <c r="G195" s="27" t="n">
        <f aca="false">IF(OR($B195="",$C195=""),0,IFERROR($C195*E195/IF(OR(F195="kg",F195="L"),1000,1),0))</f>
        <v>4.85</v>
      </c>
      <c r="H195" s="25" t="str">
        <f aca="false">IF(AND($A195&lt;&gt;"",$A195='Fiche plat'!$C$3),COUNTIF($A$5:$A195,'Fiche plat'!$C$3),"")</f>
        <v/>
      </c>
      <c r="I195" s="0" t="str">
        <f aca="false">IF($A195="","",IFERROR(INDEX(Plats!$D$5:$D$48,MATCH($A195,Plats!$I$5:$I$48,0)),""))</f>
        <v>Oui</v>
      </c>
    </row>
    <row r="196" customFormat="false" ht="15" hidden="false" customHeight="false" outlineLevel="0" collapsed="false">
      <c r="A196" s="25" t="s">
        <v>155</v>
      </c>
      <c r="B196" s="25" t="s">
        <v>157</v>
      </c>
      <c r="C196" s="34" t="n">
        <v>200</v>
      </c>
      <c r="D196" s="25" t="str">
        <f aca="false">IF($B196="","",IF(F196="kg","g",IF(F196="L","ml",F196)))</f>
        <v>g</v>
      </c>
      <c r="E196" s="27" t="n">
        <f aca="false">IF($B196="","",IFERROR(INDEX('Liste des ingrédients'!$H$5:$H$98,MATCH($B196,'Liste des ingrédients'!$B$5:$B$98,0)),0))</f>
        <v>45</v>
      </c>
      <c r="F196" s="25" t="str">
        <f aca="false">IF($B196="","",IFERROR(INDEX('Liste des ingrédients'!$G$5:$G$98,MATCH($B196,'Liste des ingrédients'!$B$5:$B$98,0)),"?"))</f>
        <v>kg</v>
      </c>
      <c r="G196" s="27" t="n">
        <f aca="false">IF(OR($B196="",$C196=""),0,IFERROR($C196*E196/IF(OR(F196="kg",F196="L"),1000,1),0))</f>
        <v>9</v>
      </c>
      <c r="H196" s="25" t="str">
        <f aca="false">IF(AND($A196&lt;&gt;"",$A196='Fiche plat'!$C$3),COUNTIF($A$5:$A196,'Fiche plat'!$C$3),"")</f>
        <v/>
      </c>
      <c r="I196" s="0" t="str">
        <f aca="false">IF($A196="","",IFERROR(INDEX(Plats!$D$5:$D$48,MATCH($A196,Plats!$I$5:$I$48,0)),""))</f>
        <v>Oui</v>
      </c>
    </row>
    <row r="197" customFormat="false" ht="15" hidden="false" customHeight="false" outlineLevel="0" collapsed="false">
      <c r="A197" s="25" t="s">
        <v>155</v>
      </c>
      <c r="B197" s="25" t="s">
        <v>158</v>
      </c>
      <c r="C197" s="34" t="n">
        <v>100</v>
      </c>
      <c r="D197" s="25" t="str">
        <f aca="false">IF($B197="","",IF(F197="kg","g",IF(F197="L","ml",F197)))</f>
        <v>g</v>
      </c>
      <c r="E197" s="27" t="n">
        <f aca="false">IF($B197="","",IFERROR(INDEX('Liste des ingrédients'!$H$5:$H$98,MATCH($B197,'Liste des ingrédients'!$B$5:$B$98,0)),0))</f>
        <v>4</v>
      </c>
      <c r="F197" s="25" t="str">
        <f aca="false">IF($B197="","",IFERROR(INDEX('Liste des ingrédients'!$G$5:$G$98,MATCH($B197,'Liste des ingrédients'!$B$5:$B$98,0)),"?"))</f>
        <v>kg</v>
      </c>
      <c r="G197" s="27" t="n">
        <f aca="false">IF(OR($B197="",$C197=""),0,IFERROR($C197*E197/IF(OR(F197="kg",F197="L"),1000,1),0))</f>
        <v>0.4</v>
      </c>
      <c r="H197" s="25" t="str">
        <f aca="false">IF(AND($A197&lt;&gt;"",$A197='Fiche plat'!$C$3),COUNTIF($A$5:$A197,'Fiche plat'!$C$3),"")</f>
        <v/>
      </c>
      <c r="I197" s="0" t="str">
        <f aca="false">IF($A197="","",IFERROR(INDEX(Plats!$D$5:$D$48,MATCH($A197,Plats!$I$5:$I$48,0)),""))</f>
        <v>Oui</v>
      </c>
    </row>
    <row r="198" customFormat="false" ht="15" hidden="false" customHeight="false" outlineLevel="0" collapsed="false">
      <c r="A198" s="25" t="s">
        <v>155</v>
      </c>
      <c r="B198" s="25" t="s">
        <v>116</v>
      </c>
      <c r="C198" s="34" t="n">
        <v>0.83</v>
      </c>
      <c r="D198" s="25" t="str">
        <f aca="false">IF($B198="","",IF(F198="kg","g",IF(F198="L","ml",F198)))</f>
        <v>botte</v>
      </c>
      <c r="E198" s="27" t="n">
        <f aca="false">IF($B198="","",IFERROR(INDEX('Liste des ingrédients'!$H$5:$H$98,MATCH($B198,'Liste des ingrédients'!$B$5:$B$98,0)),0))</f>
        <v>0.8</v>
      </c>
      <c r="F198" s="25" t="str">
        <f aca="false">IF($B198="","",IFERROR(INDEX('Liste des ingrédients'!$G$5:$G$98,MATCH($B198,'Liste des ingrédients'!$B$5:$B$98,0)),"?"))</f>
        <v>botte</v>
      </c>
      <c r="G198" s="27" t="n">
        <f aca="false">IF(OR($B198="",$C198=""),0,IFERROR($C198*E198/IF(OR(F198="kg",F198="L"),1000,1),0))</f>
        <v>0.664</v>
      </c>
      <c r="H198" s="25" t="str">
        <f aca="false">IF(AND($A198&lt;&gt;"",$A198='Fiche plat'!$C$3),COUNTIF($A$5:$A198,'Fiche plat'!$C$3),"")</f>
        <v/>
      </c>
      <c r="I198" s="0" t="str">
        <f aca="false">IF($A198="","",IFERROR(INDEX(Plats!$D$5:$D$48,MATCH($A198,Plats!$I$5:$I$48,0)),""))</f>
        <v>Oui</v>
      </c>
    </row>
    <row r="199" customFormat="false" ht="15" hidden="false" customHeight="false" outlineLevel="0" collapsed="false">
      <c r="A199" s="25" t="s">
        <v>155</v>
      </c>
      <c r="B199" s="25" t="s">
        <v>93</v>
      </c>
      <c r="C199" s="34" t="n">
        <v>100</v>
      </c>
      <c r="D199" s="25" t="str">
        <f aca="false">IF($B199="","",IF(F199="kg","g",IF(F199="L","ml",F199)))</f>
        <v>g</v>
      </c>
      <c r="E199" s="27" t="n">
        <f aca="false">IF($B199="","",IFERROR(INDEX('Liste des ingrédients'!$H$5:$H$98,MATCH($B199,'Liste des ingrédients'!$B$5:$B$98,0)),0))</f>
        <v>1.2</v>
      </c>
      <c r="F199" s="25" t="str">
        <f aca="false">IF($B199="","",IFERROR(INDEX('Liste des ingrédients'!$G$5:$G$98,MATCH($B199,'Liste des ingrédients'!$B$5:$B$98,0)),"?"))</f>
        <v>kg</v>
      </c>
      <c r="G199" s="27" t="n">
        <f aca="false">IF(OR($B199="",$C199=""),0,IFERROR($C199*E199/IF(OR(F199="kg",F199="L"),1000,1),0))</f>
        <v>0.12</v>
      </c>
      <c r="H199" s="25" t="str">
        <f aca="false">IF(AND($A199&lt;&gt;"",$A199='Fiche plat'!$C$3),COUNTIF($A$5:$A199,'Fiche plat'!$C$3),"")</f>
        <v/>
      </c>
      <c r="I199" s="0" t="str">
        <f aca="false">IF($A199="","",IFERROR(INDEX(Plats!$D$5:$D$48,MATCH($A199,Plats!$I$5:$I$48,0)),""))</f>
        <v>Oui</v>
      </c>
    </row>
    <row r="200" customFormat="false" ht="15" hidden="false" customHeight="false" outlineLevel="0" collapsed="false">
      <c r="A200" s="25" t="s">
        <v>155</v>
      </c>
      <c r="B200" s="25" t="s">
        <v>97</v>
      </c>
      <c r="C200" s="34" t="n">
        <v>20</v>
      </c>
      <c r="D200" s="25" t="str">
        <f aca="false">IF($B200="","",IF(F200="kg","g",IF(F200="L","ml",F200)))</f>
        <v>g</v>
      </c>
      <c r="E200" s="27" t="n">
        <f aca="false">IF($B200="","",IFERROR(INDEX('Liste des ingrédients'!$H$5:$H$98,MATCH($B200,'Liste des ingrédients'!$B$5:$B$98,0)),0))</f>
        <v>15</v>
      </c>
      <c r="F200" s="25" t="str">
        <f aca="false">IF($B200="","",IFERROR(INDEX('Liste des ingrédients'!$G$5:$G$98,MATCH($B200,'Liste des ingrédients'!$B$5:$B$98,0)),"?"))</f>
        <v>kg</v>
      </c>
      <c r="G200" s="27" t="n">
        <f aca="false">IF(OR($B200="",$C200=""),0,IFERROR($C200*E200/IF(OR(F200="kg",F200="L"),1000,1),0))</f>
        <v>0.3</v>
      </c>
      <c r="H200" s="25" t="str">
        <f aca="false">IF(AND($A200&lt;&gt;"",$A200='Fiche plat'!$C$3),COUNTIF($A$5:$A200,'Fiche plat'!$C$3),"")</f>
        <v/>
      </c>
      <c r="I200" s="0" t="str">
        <f aca="false">IF($A200="","",IFERROR(INDEX(Plats!$D$5:$D$48,MATCH($A200,Plats!$I$5:$I$48,0)),""))</f>
        <v>Oui</v>
      </c>
    </row>
    <row r="201" customFormat="false" ht="15" hidden="false" customHeight="false" outlineLevel="0" collapsed="false">
      <c r="A201" s="25" t="s">
        <v>155</v>
      </c>
      <c r="B201" s="25" t="s">
        <v>90</v>
      </c>
      <c r="C201" s="34" t="n">
        <v>300</v>
      </c>
      <c r="D201" s="25" t="str">
        <f aca="false">IF($B201="","",IF(F201="kg","g",IF(F201="L","ml",F201)))</f>
        <v>g</v>
      </c>
      <c r="E201" s="27" t="n">
        <f aca="false">IF($B201="","",IFERROR(INDEX('Liste des ingrédients'!$H$5:$H$98,MATCH($B201,'Liste des ingrédients'!$B$5:$B$98,0)),0))</f>
        <v>2.5</v>
      </c>
      <c r="F201" s="25" t="str">
        <f aca="false">IF($B201="","",IFERROR(INDEX('Liste des ingrédients'!$G$5:$G$98,MATCH($B201,'Liste des ingrédients'!$B$5:$B$98,0)),"?"))</f>
        <v>kg</v>
      </c>
      <c r="G201" s="27" t="n">
        <f aca="false">IF(OR($B201="",$C201=""),0,IFERROR($C201*E201/IF(OR(F201="kg",F201="L"),1000,1),0))</f>
        <v>0.75</v>
      </c>
      <c r="H201" s="25" t="str">
        <f aca="false">IF(AND($A201&lt;&gt;"",$A201='Fiche plat'!$C$3),COUNTIF($A$5:$A201,'Fiche plat'!$C$3),"")</f>
        <v/>
      </c>
      <c r="I201" s="0" t="str">
        <f aca="false">IF($A201="","",IFERROR(INDEX(Plats!$D$5:$D$48,MATCH($A201,Plats!$I$5:$I$48,0)),""))</f>
        <v>Oui</v>
      </c>
    </row>
    <row r="202" customFormat="false" ht="15" hidden="false" customHeight="false" outlineLevel="0" collapsed="false">
      <c r="A202" s="25" t="s">
        <v>155</v>
      </c>
      <c r="B202" s="25" t="s">
        <v>128</v>
      </c>
      <c r="C202" s="34" t="n">
        <v>100</v>
      </c>
      <c r="D202" s="25" t="str">
        <f aca="false">IF($B202="","",IF(F202="kg","g",IF(F202="L","ml",F202)))</f>
        <v>g</v>
      </c>
      <c r="E202" s="27" t="n">
        <f aca="false">IF($B202="","",IFERROR(INDEX('Liste des ingrédients'!$H$5:$H$98,MATCH($B202,'Liste des ingrédients'!$B$5:$B$98,0)),0))</f>
        <v>3.4</v>
      </c>
      <c r="F202" s="25" t="str">
        <f aca="false">IF($B202="","",IFERROR(INDEX('Liste des ingrédients'!$G$5:$G$98,MATCH($B202,'Liste des ingrédients'!$B$5:$B$98,0)),"?"))</f>
        <v>kg</v>
      </c>
      <c r="G202" s="27" t="n">
        <f aca="false">IF(OR($B202="",$C202=""),0,IFERROR($C202*E202/IF(OR(F202="kg",F202="L"),1000,1),0))</f>
        <v>0.34</v>
      </c>
      <c r="H202" s="25" t="str">
        <f aca="false">IF(AND($A202&lt;&gt;"",$A202='Fiche plat'!$C$3),COUNTIF($A$5:$A202,'Fiche plat'!$C$3),"")</f>
        <v/>
      </c>
      <c r="I202" s="0" t="str">
        <f aca="false">IF($A202="","",IFERROR(INDEX(Plats!$D$5:$D$48,MATCH($A202,Plats!$I$5:$I$48,0)),""))</f>
        <v>Oui</v>
      </c>
    </row>
    <row r="203" customFormat="false" ht="15" hidden="false" customHeight="false" outlineLevel="0" collapsed="false">
      <c r="A203" s="25" t="s">
        <v>155</v>
      </c>
      <c r="B203" s="25" t="s">
        <v>122</v>
      </c>
      <c r="C203" s="34" t="n">
        <v>50</v>
      </c>
      <c r="D203" s="25" t="str">
        <f aca="false">IF($B203="","",IF(F203="kg","g",IF(F203="L","ml",F203)))</f>
        <v>g</v>
      </c>
      <c r="E203" s="27" t="n">
        <f aca="false">IF($B203="","",IFERROR(INDEX('Liste des ingrédients'!$H$5:$H$98,MATCH($B203,'Liste des ingrédients'!$B$5:$B$98,0)),0))</f>
        <v>6</v>
      </c>
      <c r="F203" s="25" t="str">
        <f aca="false">IF($B203="","",IFERROR(INDEX('Liste des ingrédients'!$G$5:$G$98,MATCH($B203,'Liste des ingrédients'!$B$5:$B$98,0)),"?"))</f>
        <v>kg</v>
      </c>
      <c r="G203" s="27" t="n">
        <f aca="false">IF(OR($B203="",$C203=""),0,IFERROR($C203*E203/IF(OR(F203="kg",F203="L"),1000,1),0))</f>
        <v>0.3</v>
      </c>
      <c r="H203" s="25" t="str">
        <f aca="false">IF(AND($A203&lt;&gt;"",$A203='Fiche plat'!$C$3),COUNTIF($A$5:$A203,'Fiche plat'!$C$3),"")</f>
        <v/>
      </c>
      <c r="I203" s="0" t="str">
        <f aca="false">IF($A203="","",IFERROR(INDEX(Plats!$D$5:$D$48,MATCH($A203,Plats!$I$5:$I$48,0)),""))</f>
        <v>Oui</v>
      </c>
    </row>
    <row r="204" customFormat="false" ht="15" hidden="false" customHeight="false" outlineLevel="0" collapsed="false">
      <c r="A204" s="25" t="s">
        <v>155</v>
      </c>
      <c r="B204" s="25" t="s">
        <v>95</v>
      </c>
      <c r="C204" s="34" t="n">
        <v>40</v>
      </c>
      <c r="D204" s="25" t="str">
        <f aca="false">IF($B204="","",IF(F204="kg","g",IF(F204="L","ml",F204)))</f>
        <v>g</v>
      </c>
      <c r="E204" s="27" t="n">
        <f aca="false">IF($B204="","",IFERROR(INDEX('Liste des ingrédients'!$H$5:$H$98,MATCH($B204,'Liste des ingrédients'!$B$5:$B$98,0)),0))</f>
        <v>9</v>
      </c>
      <c r="F204" s="25" t="str">
        <f aca="false">IF($B204="","",IFERROR(INDEX('Liste des ingrédients'!$G$5:$G$98,MATCH($B204,'Liste des ingrédients'!$B$5:$B$98,0)),"?"))</f>
        <v>kg</v>
      </c>
      <c r="G204" s="27" t="n">
        <f aca="false">IF(OR($B204="",$C204=""),0,IFERROR($C204*E204/IF(OR(F204="kg",F204="L"),1000,1),0))</f>
        <v>0.36</v>
      </c>
      <c r="H204" s="25" t="str">
        <f aca="false">IF(AND($A204&lt;&gt;"",$A204='Fiche plat'!$C$3),COUNTIF($A$5:$A204,'Fiche plat'!$C$3),"")</f>
        <v/>
      </c>
      <c r="I204" s="0" t="str">
        <f aca="false">IF($A204="","",IFERROR(INDEX(Plats!$D$5:$D$48,MATCH($A204,Plats!$I$5:$I$48,0)),""))</f>
        <v>Oui</v>
      </c>
    </row>
    <row r="205" customFormat="false" ht="15" hidden="false" customHeight="false" outlineLevel="0" collapsed="false">
      <c r="A205" s="25" t="s">
        <v>155</v>
      </c>
      <c r="B205" s="25" t="s">
        <v>96</v>
      </c>
      <c r="C205" s="34" t="n">
        <v>15</v>
      </c>
      <c r="D205" s="25" t="str">
        <f aca="false">IF($B205="","",IF(F205="kg","g",IF(F205="L","ml",F205)))</f>
        <v>g</v>
      </c>
      <c r="E205" s="27" t="n">
        <f aca="false">IF($B205="","",IFERROR(INDEX('Liste des ingrédients'!$H$5:$H$98,MATCH($B205,'Liste des ingrédients'!$B$5:$B$98,0)),0))</f>
        <v>11</v>
      </c>
      <c r="F205" s="25" t="str">
        <f aca="false">IF($B205="","",IFERROR(INDEX('Liste des ingrédients'!$G$5:$G$98,MATCH($B205,'Liste des ingrédients'!$B$5:$B$98,0)),"?"))</f>
        <v>kg</v>
      </c>
      <c r="G205" s="27" t="n">
        <f aca="false">IF(OR($B205="",$C205=""),0,IFERROR($C205*E205/IF(OR(F205="kg",F205="L"),1000,1),0))</f>
        <v>0.165</v>
      </c>
      <c r="H205" s="25" t="str">
        <f aca="false">IF(AND($A205&lt;&gt;"",$A205='Fiche plat'!$C$3),COUNTIF($A$5:$A205,'Fiche plat'!$C$3),"")</f>
        <v/>
      </c>
      <c r="I205" s="0" t="str">
        <f aca="false">IF($A205="","",IFERROR(INDEX(Plats!$D$5:$D$48,MATCH($A205,Plats!$I$5:$I$48,0)),""))</f>
        <v>Oui</v>
      </c>
    </row>
    <row r="206" customFormat="false" ht="15" hidden="false" customHeight="false" outlineLevel="0" collapsed="false">
      <c r="A206" s="25" t="s">
        <v>155</v>
      </c>
      <c r="B206" s="25" t="s">
        <v>125</v>
      </c>
      <c r="C206" s="34" t="n">
        <v>1</v>
      </c>
      <c r="D206" s="25" t="str">
        <f aca="false">IF($B206="","",IF(F206="kg","g",IF(F206="L","ml",F206)))</f>
        <v>g</v>
      </c>
      <c r="E206" s="27" t="n">
        <f aca="false">IF($B206="","",IFERROR(INDEX('Liste des ingrédients'!$H$5:$H$98,MATCH($B206,'Liste des ingrédients'!$B$5:$B$98,0)),0))</f>
        <v>50</v>
      </c>
      <c r="F206" s="25" t="str">
        <f aca="false">IF($B206="","",IFERROR(INDEX('Liste des ingrédients'!$G$5:$G$98,MATCH($B206,'Liste des ingrédients'!$B$5:$B$98,0)),"?"))</f>
        <v>kg</v>
      </c>
      <c r="G206" s="27" t="n">
        <f aca="false">IF(OR($B206="",$C206=""),0,IFERROR($C206*E206/IF(OR(F206="kg",F206="L"),1000,1),0))</f>
        <v>0.05</v>
      </c>
      <c r="H206" s="25" t="str">
        <f aca="false">IF(AND($A206&lt;&gt;"",$A206='Fiche plat'!$C$3),COUNTIF($A$5:$A206,'Fiche plat'!$C$3),"")</f>
        <v/>
      </c>
      <c r="I206" s="0" t="str">
        <f aca="false">IF($A206="","",IFERROR(INDEX(Plats!$D$5:$D$48,MATCH($A206,Plats!$I$5:$I$48,0)),""))</f>
        <v>Oui</v>
      </c>
    </row>
    <row r="207" customFormat="false" ht="15" hidden="false" customHeight="false" outlineLevel="0" collapsed="false">
      <c r="A207" s="25" t="s">
        <v>155</v>
      </c>
      <c r="B207" s="25" t="s">
        <v>117</v>
      </c>
      <c r="C207" s="34" t="n">
        <v>2.5</v>
      </c>
      <c r="D207" s="25" t="str">
        <f aca="false">IF($B207="","",IF(F207="kg","g",IF(F207="L","ml",F207)))</f>
        <v>g</v>
      </c>
      <c r="E207" s="27" t="n">
        <f aca="false">IF($B207="","",IFERROR(INDEX('Liste des ingrédients'!$H$5:$H$98,MATCH($B207,'Liste des ingrédients'!$B$5:$B$98,0)),0))</f>
        <v>33</v>
      </c>
      <c r="F207" s="25" t="str">
        <f aca="false">IF($B207="","",IFERROR(INDEX('Liste des ingrédients'!$G$5:$G$98,MATCH($B207,'Liste des ingrédients'!$B$5:$B$98,0)),"?"))</f>
        <v>kg</v>
      </c>
      <c r="G207" s="27" t="n">
        <f aca="false">IF(OR($B207="",$C207=""),0,IFERROR($C207*E207/IF(OR(F207="kg",F207="L"),1000,1),0))</f>
        <v>0.0825</v>
      </c>
      <c r="H207" s="25" t="str">
        <f aca="false">IF(AND($A207&lt;&gt;"",$A207='Fiche plat'!$C$3),COUNTIF($A$5:$A207,'Fiche plat'!$C$3),"")</f>
        <v/>
      </c>
      <c r="I207" s="0" t="str">
        <f aca="false">IF($A207="","",IFERROR(INDEX(Plats!$D$5:$D$48,MATCH($A207,Plats!$I$5:$I$48,0)),""))</f>
        <v>Oui</v>
      </c>
    </row>
    <row r="208" customFormat="false" ht="15" hidden="false" customHeight="false" outlineLevel="0" collapsed="false">
      <c r="A208" s="25" t="s">
        <v>155</v>
      </c>
      <c r="B208" s="25" t="s">
        <v>99</v>
      </c>
      <c r="C208" s="34" t="n">
        <v>2.5</v>
      </c>
      <c r="D208" s="25" t="str">
        <f aca="false">IF($B208="","",IF(F208="kg","g",IF(F208="L","ml",F208)))</f>
        <v>g</v>
      </c>
      <c r="E208" s="27" t="n">
        <f aca="false">IF($B208="","",IFERROR(INDEX('Liste des ingrédients'!$H$5:$H$98,MATCH($B208,'Liste des ingrédients'!$B$5:$B$98,0)),0))</f>
        <v>40</v>
      </c>
      <c r="F208" s="25" t="str">
        <f aca="false">IF($B208="","",IFERROR(INDEX('Liste des ingrédients'!$G$5:$G$98,MATCH($B208,'Liste des ingrédients'!$B$5:$B$98,0)),"?"))</f>
        <v>kg</v>
      </c>
      <c r="G208" s="27" t="n">
        <f aca="false">IF(OR($B208="",$C208=""),0,IFERROR($C208*E208/IF(OR(F208="kg",F208="L"),1000,1),0))</f>
        <v>0.1</v>
      </c>
      <c r="H208" s="25" t="str">
        <f aca="false">IF(AND($A208&lt;&gt;"",$A208='Fiche plat'!$C$3),COUNTIF($A$5:$A208,'Fiche plat'!$C$3),"")</f>
        <v/>
      </c>
      <c r="I208" s="0" t="str">
        <f aca="false">IF($A208="","",IFERROR(INDEX(Plats!$D$5:$D$48,MATCH($A208,Plats!$I$5:$I$48,0)),""))</f>
        <v>Oui</v>
      </c>
    </row>
    <row r="209" customFormat="false" ht="15" hidden="false" customHeight="false" outlineLevel="0" collapsed="false">
      <c r="A209" s="25" t="s">
        <v>155</v>
      </c>
      <c r="B209" s="25" t="s">
        <v>98</v>
      </c>
      <c r="C209" s="34" t="n">
        <v>3</v>
      </c>
      <c r="D209" s="25" t="str">
        <f aca="false">IF($B209="","",IF(F209="kg","g",IF(F209="L","ml",F209)))</f>
        <v>g</v>
      </c>
      <c r="E209" s="27" t="n">
        <f aca="false">IF($B209="","",IFERROR(INDEX('Liste des ingrédients'!$H$5:$H$98,MATCH($B209,'Liste des ingrédients'!$B$5:$B$98,0)),0))</f>
        <v>40</v>
      </c>
      <c r="F209" s="25" t="str">
        <f aca="false">IF($B209="","",IFERROR(INDEX('Liste des ingrédients'!$G$5:$G$98,MATCH($B209,'Liste des ingrédients'!$B$5:$B$98,0)),"?"))</f>
        <v>kg</v>
      </c>
      <c r="G209" s="27" t="n">
        <f aca="false">IF(OR($B209="",$C209=""),0,IFERROR($C209*E209/IF(OR(F209="kg",F209="L"),1000,1),0))</f>
        <v>0.12</v>
      </c>
      <c r="H209" s="25" t="str">
        <f aca="false">IF(AND($A209&lt;&gt;"",$A209='Fiche plat'!$C$3),COUNTIF($A$5:$A209,'Fiche plat'!$C$3),"")</f>
        <v/>
      </c>
      <c r="I209" s="0" t="str">
        <f aca="false">IF($A209="","",IFERROR(INDEX(Plats!$D$5:$D$48,MATCH($A209,Plats!$I$5:$I$48,0)),""))</f>
        <v>Oui</v>
      </c>
    </row>
    <row r="210" customFormat="false" ht="15" hidden="false" customHeight="false" outlineLevel="0" collapsed="false">
      <c r="A210" s="25" t="s">
        <v>155</v>
      </c>
      <c r="B210" s="25" t="s">
        <v>124</v>
      </c>
      <c r="C210" s="34" t="n">
        <v>2.5</v>
      </c>
      <c r="D210" s="25" t="str">
        <f aca="false">IF($B210="","",IF(F210="kg","g",IF(F210="L","ml",F210)))</f>
        <v>g</v>
      </c>
      <c r="E210" s="27" t="n">
        <f aca="false">IF($B210="","",IFERROR(INDEX('Liste des ingrédients'!$H$5:$H$98,MATCH($B210,'Liste des ingrédients'!$B$5:$B$98,0)),0))</f>
        <v>40</v>
      </c>
      <c r="F210" s="25" t="str">
        <f aca="false">IF($B210="","",IFERROR(INDEX('Liste des ingrédients'!$G$5:$G$98,MATCH($B210,'Liste des ingrédients'!$B$5:$B$98,0)),"?"))</f>
        <v>kg</v>
      </c>
      <c r="G210" s="27" t="n">
        <f aca="false">IF(OR($B210="",$C210=""),0,IFERROR($C210*E210/IF(OR(F210="kg",F210="L"),1000,1),0))</f>
        <v>0.1</v>
      </c>
      <c r="H210" s="25" t="str">
        <f aca="false">IF(AND($A210&lt;&gt;"",$A210='Fiche plat'!$C$3),COUNTIF($A$5:$A210,'Fiche plat'!$C$3),"")</f>
        <v/>
      </c>
      <c r="I210" s="0" t="str">
        <f aca="false">IF($A210="","",IFERROR(INDEX(Plats!$D$5:$D$48,MATCH($A210,Plats!$I$5:$I$48,0)),""))</f>
        <v>Oui</v>
      </c>
    </row>
    <row r="211" customFormat="false" ht="15" hidden="false" customHeight="false" outlineLevel="0" collapsed="false">
      <c r="A211" s="25" t="s">
        <v>155</v>
      </c>
      <c r="B211" s="25" t="s">
        <v>102</v>
      </c>
      <c r="C211" s="34" t="n">
        <v>9</v>
      </c>
      <c r="D211" s="25" t="str">
        <f aca="false">IF($B211="","",IF(F211="kg","g",IF(F211="L","ml",F211)))</f>
        <v>g</v>
      </c>
      <c r="E211" s="27" t="n">
        <f aca="false">IF($B211="","",IFERROR(INDEX('Liste des ingrédients'!$H$5:$H$98,MATCH($B211,'Liste des ingrédients'!$B$5:$B$98,0)),0))</f>
        <v>0.8</v>
      </c>
      <c r="F211" s="25" t="str">
        <f aca="false">IF($B211="","",IFERROR(INDEX('Liste des ingrédients'!$G$5:$G$98,MATCH($B211,'Liste des ingrédients'!$B$5:$B$98,0)),"?"))</f>
        <v>kg</v>
      </c>
      <c r="G211" s="27" t="n">
        <f aca="false">IF(OR($B211="",$C211=""),0,IFERROR($C211*E211/IF(OR(F211="kg",F211="L"),1000,1),0))</f>
        <v>0.0072</v>
      </c>
      <c r="H211" s="25" t="str">
        <f aca="false">IF(AND($A211&lt;&gt;"",$A211='Fiche plat'!$C$3),COUNTIF($A$5:$A211,'Fiche plat'!$C$3),"")</f>
        <v/>
      </c>
      <c r="I211" s="0" t="str">
        <f aca="false">IF($A211="","",IFERROR(INDEX(Plats!$D$5:$D$48,MATCH($A211,Plats!$I$5:$I$48,0)),""))</f>
        <v>Oui</v>
      </c>
    </row>
    <row r="212" customFormat="false" ht="15" hidden="false" customHeight="false" outlineLevel="0" collapsed="false">
      <c r="A212" s="25" t="s">
        <v>155</v>
      </c>
      <c r="B212" s="25" t="s">
        <v>103</v>
      </c>
      <c r="C212" s="34" t="n">
        <v>1</v>
      </c>
      <c r="D212" s="25" t="str">
        <f aca="false">IF($B212="","",IF(F212="kg","g",IF(F212="L","ml",F212)))</f>
        <v>g</v>
      </c>
      <c r="E212" s="27" t="n">
        <f aca="false">IF($B212="","",IFERROR(INDEX('Liste des ingrédients'!$H$5:$H$98,MATCH($B212,'Liste des ingrédients'!$B$5:$B$98,0)),0))</f>
        <v>50</v>
      </c>
      <c r="F212" s="25" t="str">
        <f aca="false">IF($B212="","",IFERROR(INDEX('Liste des ingrédients'!$G$5:$G$98,MATCH($B212,'Liste des ingrédients'!$B$5:$B$98,0)),"?"))</f>
        <v>kg</v>
      </c>
      <c r="G212" s="27" t="n">
        <f aca="false">IF(OR($B212="",$C212=""),0,IFERROR($C212*E212/IF(OR(F212="kg",F212="L"),1000,1),0))</f>
        <v>0.05</v>
      </c>
      <c r="H212" s="25" t="str">
        <f aca="false">IF(AND($A212&lt;&gt;"",$A212='Fiche plat'!$C$3),COUNTIF($A$5:$A212,'Fiche plat'!$C$3),"")</f>
        <v/>
      </c>
      <c r="I212" s="0" t="str">
        <f aca="false">IF($A212="","",IFERROR(INDEX(Plats!$D$5:$D$48,MATCH($A212,Plats!$I$5:$I$48,0)),""))</f>
        <v>Oui</v>
      </c>
    </row>
    <row r="213" customFormat="false" ht="15" hidden="false" customHeight="false" outlineLevel="0" collapsed="false">
      <c r="A213" s="25" t="s">
        <v>155</v>
      </c>
      <c r="B213" s="25" t="s">
        <v>101</v>
      </c>
      <c r="C213" s="34" t="n">
        <v>90</v>
      </c>
      <c r="D213" s="25" t="str">
        <f aca="false">IF($B213="","",IF(F213="kg","g",IF(F213="L","ml",F213)))</f>
        <v>ml</v>
      </c>
      <c r="E213" s="27" t="n">
        <f aca="false">IF($B213="","",IFERROR(INDEX('Liste des ingrédients'!$H$5:$H$98,MATCH($B213,'Liste des ingrédients'!$B$5:$B$98,0)),0))</f>
        <v>12.5</v>
      </c>
      <c r="F213" s="25" t="str">
        <f aca="false">IF($B213="","",IFERROR(INDEX('Liste des ingrédients'!$G$5:$G$98,MATCH($B213,'Liste des ingrédients'!$B$5:$B$98,0)),"?"))</f>
        <v>L</v>
      </c>
      <c r="G213" s="27" t="n">
        <f aca="false">IF(OR($B213="",$C213=""),0,IFERROR($C213*E213/IF(OR(F213="kg",F213="L"),1000,1),0))</f>
        <v>1.125</v>
      </c>
      <c r="H213" s="25" t="str">
        <f aca="false">IF(AND($A213&lt;&gt;"",$A213='Fiche plat'!$C$3),COUNTIF($A$5:$A213,'Fiche plat'!$C$3),"")</f>
        <v/>
      </c>
      <c r="I213" s="0" t="str">
        <f aca="false">IF($A213="","",IFERROR(INDEX(Plats!$D$5:$D$48,MATCH($A213,Plats!$I$5:$I$48,0)),""))</f>
        <v>Oui</v>
      </c>
    </row>
    <row r="214" customFormat="false" ht="15" hidden="false" customHeight="false" outlineLevel="0" collapsed="false">
      <c r="A214" s="22" t="s">
        <v>159</v>
      </c>
      <c r="B214" s="22" t="s">
        <v>158</v>
      </c>
      <c r="C214" s="35" t="n">
        <v>500</v>
      </c>
      <c r="D214" s="22" t="str">
        <f aca="false">IF($B214="","",IF(F214="kg","g",IF(F214="L","ml",F214)))</f>
        <v>g</v>
      </c>
      <c r="E214" s="24" t="n">
        <f aca="false">IF($B214="","",IFERROR(INDEX('Liste des ingrédients'!$H$5:$H$98,MATCH($B214,'Liste des ingrédients'!$B$5:$B$98,0)),0))</f>
        <v>4</v>
      </c>
      <c r="F214" s="22" t="str">
        <f aca="false">IF($B214="","",IFERROR(INDEX('Liste des ingrédients'!$G$5:$G$98,MATCH($B214,'Liste des ingrédients'!$B$5:$B$98,0)),"?"))</f>
        <v>kg</v>
      </c>
      <c r="G214" s="24" t="n">
        <f aca="false">IF(OR($B214="",$C214=""),0,IFERROR($C214*E214/IF(OR(F214="kg",F214="L"),1000,1),0))</f>
        <v>2</v>
      </c>
      <c r="H214" s="22" t="str">
        <f aca="false">IF(AND($A214&lt;&gt;"",$A214='Fiche plat'!$C$3),COUNTIF($A$5:$A214,'Fiche plat'!$C$3),"")</f>
        <v/>
      </c>
      <c r="I214" s="0" t="str">
        <f aca="false">IF($A214="","",IFERROR(INDEX(Plats!$D$5:$D$48,MATCH($A214,Plats!$I$5:$I$48,0)),""))</f>
        <v>Oui</v>
      </c>
    </row>
    <row r="215" customFormat="false" ht="15" hidden="false" customHeight="false" outlineLevel="0" collapsed="false">
      <c r="A215" s="22" t="s">
        <v>159</v>
      </c>
      <c r="B215" s="22" t="s">
        <v>110</v>
      </c>
      <c r="C215" s="35" t="n">
        <v>6</v>
      </c>
      <c r="D215" s="22" t="str">
        <f aca="false">IF($B215="","",IF(F215="kg","g",IF(F215="L","ml",F215)))</f>
        <v>œuf</v>
      </c>
      <c r="E215" s="24" t="n">
        <f aca="false">IF($B215="","",IFERROR(INDEX('Liste des ingrédients'!$H$5:$H$98,MATCH($B215,'Liste des ingrédients'!$B$5:$B$98,0)),0))</f>
        <v>0.3</v>
      </c>
      <c r="F215" s="22" t="str">
        <f aca="false">IF($B215="","",IFERROR(INDEX('Liste des ingrédients'!$G$5:$G$98,MATCH($B215,'Liste des ingrédients'!$B$5:$B$98,0)),"?"))</f>
        <v>œuf</v>
      </c>
      <c r="G215" s="24" t="n">
        <f aca="false">IF(OR($B215="",$C215=""),0,IFERROR($C215*E215/IF(OR(F215="kg",F215="L"),1000,1),0))</f>
        <v>1.8</v>
      </c>
      <c r="H215" s="22" t="str">
        <f aca="false">IF(AND($A215&lt;&gt;"",$A215='Fiche plat'!$C$3),COUNTIF($A$5:$A215,'Fiche plat'!$C$3),"")</f>
        <v/>
      </c>
      <c r="I215" s="0" t="str">
        <f aca="false">IF($A215="","",IFERROR(INDEX(Plats!$D$5:$D$48,MATCH($A215,Plats!$I$5:$I$48,0)),""))</f>
        <v>Oui</v>
      </c>
    </row>
    <row r="216" customFormat="false" ht="15" hidden="false" customHeight="false" outlineLevel="0" collapsed="false">
      <c r="A216" s="22" t="s">
        <v>159</v>
      </c>
      <c r="B216" s="22" t="s">
        <v>115</v>
      </c>
      <c r="C216" s="35" t="n">
        <v>150</v>
      </c>
      <c r="D216" s="22" t="str">
        <f aca="false">IF($B216="","",IF(F216="kg","g",IF(F216="L","ml",F216)))</f>
        <v>g</v>
      </c>
      <c r="E216" s="24" t="n">
        <f aca="false">IF($B216="","",IFERROR(INDEX('Liste des ingrédients'!$H$5:$H$98,MATCH($B216,'Liste des ingrédients'!$B$5:$B$98,0)),0))</f>
        <v>30</v>
      </c>
      <c r="F216" s="22" t="str">
        <f aca="false">IF($B216="","",IFERROR(INDEX('Liste des ingrédients'!$G$5:$G$98,MATCH($B216,'Liste des ingrédients'!$B$5:$B$98,0)),"?"))</f>
        <v>kg</v>
      </c>
      <c r="G216" s="24" t="n">
        <f aca="false">IF(OR($B216="",$C216=""),0,IFERROR($C216*E216/IF(OR(F216="kg",F216="L"),1000,1),0))</f>
        <v>4.5</v>
      </c>
      <c r="H216" s="22" t="str">
        <f aca="false">IF(AND($A216&lt;&gt;"",$A216='Fiche plat'!$C$3),COUNTIF($A$5:$A216,'Fiche plat'!$C$3),"")</f>
        <v/>
      </c>
      <c r="I216" s="0" t="str">
        <f aca="false">IF($A216="","",IFERROR(INDEX(Plats!$D$5:$D$48,MATCH($A216,Plats!$I$5:$I$48,0)),""))</f>
        <v>Oui</v>
      </c>
    </row>
    <row r="217" customFormat="false" ht="15" hidden="false" customHeight="false" outlineLevel="0" collapsed="false">
      <c r="A217" s="22" t="s">
        <v>159</v>
      </c>
      <c r="B217" s="22" t="s">
        <v>93</v>
      </c>
      <c r="C217" s="35" t="n">
        <v>100</v>
      </c>
      <c r="D217" s="22" t="str">
        <f aca="false">IF($B217="","",IF(F217="kg","g",IF(F217="L","ml",F217)))</f>
        <v>g</v>
      </c>
      <c r="E217" s="24" t="n">
        <f aca="false">IF($B217="","",IFERROR(INDEX('Liste des ingrédients'!$H$5:$H$98,MATCH($B217,'Liste des ingrédients'!$B$5:$B$98,0)),0))</f>
        <v>1.2</v>
      </c>
      <c r="F217" s="22" t="str">
        <f aca="false">IF($B217="","",IFERROR(INDEX('Liste des ingrédients'!$G$5:$G$98,MATCH($B217,'Liste des ingrédients'!$B$5:$B$98,0)),"?"))</f>
        <v>kg</v>
      </c>
      <c r="G217" s="24" t="n">
        <f aca="false">IF(OR($B217="",$C217=""),0,IFERROR($C217*E217/IF(OR(F217="kg",F217="L"),1000,1),0))</f>
        <v>0.12</v>
      </c>
      <c r="H217" s="22" t="str">
        <f aca="false">IF(AND($A217&lt;&gt;"",$A217='Fiche plat'!$C$3),COUNTIF($A$5:$A217,'Fiche plat'!$C$3),"")</f>
        <v/>
      </c>
      <c r="I217" s="0" t="str">
        <f aca="false">IF($A217="","",IFERROR(INDEX(Plats!$D$5:$D$48,MATCH($A217,Plats!$I$5:$I$48,0)),""))</f>
        <v>Oui</v>
      </c>
    </row>
    <row r="218" customFormat="false" ht="15" hidden="false" customHeight="false" outlineLevel="0" collapsed="false">
      <c r="A218" s="22" t="s">
        <v>159</v>
      </c>
      <c r="B218" s="22" t="s">
        <v>97</v>
      </c>
      <c r="C218" s="35" t="n">
        <v>10</v>
      </c>
      <c r="D218" s="22" t="str">
        <f aca="false">IF($B218="","",IF(F218="kg","g",IF(F218="L","ml",F218)))</f>
        <v>g</v>
      </c>
      <c r="E218" s="24" t="n">
        <f aca="false">IF($B218="","",IFERROR(INDEX('Liste des ingrédients'!$H$5:$H$98,MATCH($B218,'Liste des ingrédients'!$B$5:$B$98,0)),0))</f>
        <v>15</v>
      </c>
      <c r="F218" s="22" t="str">
        <f aca="false">IF($B218="","",IFERROR(INDEX('Liste des ingrédients'!$G$5:$G$98,MATCH($B218,'Liste des ingrédients'!$B$5:$B$98,0)),"?"))</f>
        <v>kg</v>
      </c>
      <c r="G218" s="24" t="n">
        <f aca="false">IF(OR($B218="",$C218=""),0,IFERROR($C218*E218/IF(OR(F218="kg",F218="L"),1000,1),0))</f>
        <v>0.15</v>
      </c>
      <c r="H218" s="22" t="str">
        <f aca="false">IF(AND($A218&lt;&gt;"",$A218='Fiche plat'!$C$3),COUNTIF($A$5:$A218,'Fiche plat'!$C$3),"")</f>
        <v/>
      </c>
      <c r="I218" s="0" t="str">
        <f aca="false">IF($A218="","",IFERROR(INDEX(Plats!$D$5:$D$48,MATCH($A218,Plats!$I$5:$I$48,0)),""))</f>
        <v>Oui</v>
      </c>
    </row>
    <row r="219" customFormat="false" ht="15" hidden="false" customHeight="false" outlineLevel="0" collapsed="false">
      <c r="A219" s="22" t="s">
        <v>159</v>
      </c>
      <c r="B219" s="22" t="s">
        <v>116</v>
      </c>
      <c r="C219" s="35" t="n">
        <v>0.25</v>
      </c>
      <c r="D219" s="22" t="str">
        <f aca="false">IF($B219="","",IF(F219="kg","g",IF(F219="L","ml",F219)))</f>
        <v>botte</v>
      </c>
      <c r="E219" s="24" t="n">
        <f aca="false">IF($B219="","",IFERROR(INDEX('Liste des ingrédients'!$H$5:$H$98,MATCH($B219,'Liste des ingrédients'!$B$5:$B$98,0)),0))</f>
        <v>0.8</v>
      </c>
      <c r="F219" s="22" t="str">
        <f aca="false">IF($B219="","",IFERROR(INDEX('Liste des ingrédients'!$G$5:$G$98,MATCH($B219,'Liste des ingrédients'!$B$5:$B$98,0)),"?"))</f>
        <v>botte</v>
      </c>
      <c r="G219" s="24" t="n">
        <f aca="false">IF(OR($B219="",$C219=""),0,IFERROR($C219*E219/IF(OR(F219="kg",F219="L"),1000,1),0))</f>
        <v>0.2</v>
      </c>
      <c r="H219" s="22" t="str">
        <f aca="false">IF(AND($A219&lt;&gt;"",$A219='Fiche plat'!$C$3),COUNTIF($A$5:$A219,'Fiche plat'!$C$3),"")</f>
        <v/>
      </c>
      <c r="I219" s="0" t="str">
        <f aca="false">IF($A219="","",IFERROR(INDEX(Plats!$D$5:$D$48,MATCH($A219,Plats!$I$5:$I$48,0)),""))</f>
        <v>Oui</v>
      </c>
    </row>
    <row r="220" customFormat="false" ht="15" hidden="false" customHeight="false" outlineLevel="0" collapsed="false">
      <c r="A220" s="22" t="s">
        <v>159</v>
      </c>
      <c r="B220" s="22" t="s">
        <v>160</v>
      </c>
      <c r="C220" s="35" t="n">
        <v>20</v>
      </c>
      <c r="D220" s="22" t="str">
        <f aca="false">IF($B220="","",IF(F220="kg","g",IF(F220="L","ml",F220)))</f>
        <v>g</v>
      </c>
      <c r="E220" s="24" t="n">
        <f aca="false">IF($B220="","",IFERROR(INDEX('Liste des ingrédients'!$H$5:$H$98,MATCH($B220,'Liste des ingrédients'!$B$5:$B$98,0)),0))</f>
        <v>8</v>
      </c>
      <c r="F220" s="22" t="str">
        <f aca="false">IF($B220="","",IFERROR(INDEX('Liste des ingrédients'!$G$5:$G$98,MATCH($B220,'Liste des ingrédients'!$B$5:$B$98,0)),"?"))</f>
        <v>kg</v>
      </c>
      <c r="G220" s="24" t="n">
        <f aca="false">IF(OR($B220="",$C220=""),0,IFERROR($C220*E220/IF(OR(F220="kg",F220="L"),1000,1),0))</f>
        <v>0.16</v>
      </c>
      <c r="H220" s="22" t="str">
        <f aca="false">IF(AND($A220&lt;&gt;"",$A220='Fiche plat'!$C$3),COUNTIF($A$5:$A220,'Fiche plat'!$C$3),"")</f>
        <v/>
      </c>
      <c r="I220" s="0" t="str">
        <f aca="false">IF($A220="","",IFERROR(INDEX(Plats!$D$5:$D$48,MATCH($A220,Plats!$I$5:$I$48,0)),""))</f>
        <v>Oui</v>
      </c>
    </row>
    <row r="221" customFormat="false" ht="15" hidden="false" customHeight="false" outlineLevel="0" collapsed="false">
      <c r="A221" s="22" t="s">
        <v>159</v>
      </c>
      <c r="B221" s="22" t="s">
        <v>101</v>
      </c>
      <c r="C221" s="35" t="n">
        <v>45</v>
      </c>
      <c r="D221" s="22" t="str">
        <f aca="false">IF($B221="","",IF(F221="kg","g",IF(F221="L","ml",F221)))</f>
        <v>ml</v>
      </c>
      <c r="E221" s="24" t="n">
        <f aca="false">IF($B221="","",IFERROR(INDEX('Liste des ingrédients'!$H$5:$H$98,MATCH($B221,'Liste des ingrédients'!$B$5:$B$98,0)),0))</f>
        <v>12.5</v>
      </c>
      <c r="F221" s="22" t="str">
        <f aca="false">IF($B221="","",IFERROR(INDEX('Liste des ingrédients'!$G$5:$G$98,MATCH($B221,'Liste des ingrédients'!$B$5:$B$98,0)),"?"))</f>
        <v>L</v>
      </c>
      <c r="G221" s="24" t="n">
        <f aca="false">IF(OR($B221="",$C221=""),0,IFERROR($C221*E221/IF(OR(F221="kg",F221="L"),1000,1),0))</f>
        <v>0.5625</v>
      </c>
      <c r="H221" s="22" t="str">
        <f aca="false">IF(AND($A221&lt;&gt;"",$A221='Fiche plat'!$C$3),COUNTIF($A$5:$A221,'Fiche plat'!$C$3),"")</f>
        <v/>
      </c>
      <c r="I221" s="0" t="str">
        <f aca="false">IF($A221="","",IFERROR(INDEX(Plats!$D$5:$D$48,MATCH($A221,Plats!$I$5:$I$48,0)),""))</f>
        <v>Oui</v>
      </c>
    </row>
    <row r="222" customFormat="false" ht="15" hidden="false" customHeight="false" outlineLevel="0" collapsed="false">
      <c r="A222" s="22" t="s">
        <v>159</v>
      </c>
      <c r="B222" s="22" t="s">
        <v>102</v>
      </c>
      <c r="C222" s="35" t="n">
        <v>6</v>
      </c>
      <c r="D222" s="22" t="str">
        <f aca="false">IF($B222="","",IF(F222="kg","g",IF(F222="L","ml",F222)))</f>
        <v>g</v>
      </c>
      <c r="E222" s="24" t="n">
        <f aca="false">IF($B222="","",IFERROR(INDEX('Liste des ingrédients'!$H$5:$H$98,MATCH($B222,'Liste des ingrédients'!$B$5:$B$98,0)),0))</f>
        <v>0.8</v>
      </c>
      <c r="F222" s="22" t="str">
        <f aca="false">IF($B222="","",IFERROR(INDEX('Liste des ingrédients'!$G$5:$G$98,MATCH($B222,'Liste des ingrédients'!$B$5:$B$98,0)),"?"))</f>
        <v>kg</v>
      </c>
      <c r="G222" s="24" t="n">
        <f aca="false">IF(OR($B222="",$C222=""),0,IFERROR($C222*E222/IF(OR(F222="kg",F222="L"),1000,1),0))</f>
        <v>0.0048</v>
      </c>
      <c r="H222" s="22" t="str">
        <f aca="false">IF(AND($A222&lt;&gt;"",$A222='Fiche plat'!$C$3),COUNTIF($A$5:$A222,'Fiche plat'!$C$3),"")</f>
        <v/>
      </c>
      <c r="I222" s="0" t="str">
        <f aca="false">IF($A222="","",IFERROR(INDEX(Plats!$D$5:$D$48,MATCH($A222,Plats!$I$5:$I$48,0)),""))</f>
        <v>Oui</v>
      </c>
    </row>
    <row r="223" customFormat="false" ht="15" hidden="false" customHeight="false" outlineLevel="0" collapsed="false">
      <c r="A223" s="22" t="s">
        <v>159</v>
      </c>
      <c r="B223" s="22" t="s">
        <v>103</v>
      </c>
      <c r="C223" s="35" t="n">
        <v>1</v>
      </c>
      <c r="D223" s="22" t="str">
        <f aca="false">IF($B223="","",IF(F223="kg","g",IF(F223="L","ml",F223)))</f>
        <v>g</v>
      </c>
      <c r="E223" s="24" t="n">
        <f aca="false">IF($B223="","",IFERROR(INDEX('Liste des ingrédients'!$H$5:$H$98,MATCH($B223,'Liste des ingrédients'!$B$5:$B$98,0)),0))</f>
        <v>50</v>
      </c>
      <c r="F223" s="22" t="str">
        <f aca="false">IF($B223="","",IFERROR(INDEX('Liste des ingrédients'!$G$5:$G$98,MATCH($B223,'Liste des ingrédients'!$B$5:$B$98,0)),"?"))</f>
        <v>kg</v>
      </c>
      <c r="G223" s="24" t="n">
        <f aca="false">IF(OR($B223="",$C223=""),0,IFERROR($C223*E223/IF(OR(F223="kg",F223="L"),1000,1),0))</f>
        <v>0.05</v>
      </c>
      <c r="H223" s="22" t="str">
        <f aca="false">IF(AND($A223&lt;&gt;"",$A223='Fiche plat'!$C$3),COUNTIF($A$5:$A223,'Fiche plat'!$C$3),"")</f>
        <v/>
      </c>
      <c r="I223" s="0" t="str">
        <f aca="false">IF($A223="","",IFERROR(INDEX(Plats!$D$5:$D$48,MATCH($A223,Plats!$I$5:$I$48,0)),""))</f>
        <v>Oui</v>
      </c>
    </row>
    <row r="224" customFormat="false" ht="15" hidden="false" customHeight="false" outlineLevel="0" collapsed="false">
      <c r="A224" s="25" t="s">
        <v>161</v>
      </c>
      <c r="B224" s="25" t="s">
        <v>142</v>
      </c>
      <c r="C224" s="34" t="n">
        <v>500</v>
      </c>
      <c r="D224" s="25" t="str">
        <f aca="false">IF($B224="","",IF(F224="kg","g",IF(F224="L","ml",F224)))</f>
        <v>g</v>
      </c>
      <c r="E224" s="27" t="n">
        <f aca="false">IF($B224="","",IFERROR(INDEX('Liste des ingrédients'!$H$5:$H$98,MATCH($B224,'Liste des ingrédients'!$B$5:$B$98,0)),0))</f>
        <v>47.5</v>
      </c>
      <c r="F224" s="25" t="str">
        <f aca="false">IF($B224="","",IFERROR(INDEX('Liste des ingrédients'!$G$5:$G$98,MATCH($B224,'Liste des ingrédients'!$B$5:$B$98,0)),"?"))</f>
        <v>kg</v>
      </c>
      <c r="G224" s="27" t="n">
        <f aca="false">IF(OR($B224="",$C224=""),0,IFERROR($C224*E224/IF(OR(F224="kg",F224="L"),1000,1),0))</f>
        <v>23.75</v>
      </c>
      <c r="H224" s="25" t="str">
        <f aca="false">IF(AND($A224&lt;&gt;"",$A224='Fiche plat'!$C$3),COUNTIF($A$5:$A224,'Fiche plat'!$C$3),"")</f>
        <v/>
      </c>
      <c r="I224" s="0" t="str">
        <f aca="false">IF($A224="","",IFERROR(INDEX(Plats!$D$5:$D$48,MATCH($A224,Plats!$I$5:$I$48,0)),""))</f>
        <v>Oui</v>
      </c>
    </row>
    <row r="225" customFormat="false" ht="15" hidden="false" customHeight="false" outlineLevel="0" collapsed="false">
      <c r="A225" s="25" t="s">
        <v>161</v>
      </c>
      <c r="B225" s="25" t="s">
        <v>92</v>
      </c>
      <c r="C225" s="34" t="n">
        <v>800</v>
      </c>
      <c r="D225" s="25" t="str">
        <f aca="false">IF($B225="","",IF(F225="kg","g",IF(F225="L","ml",F225)))</f>
        <v>g</v>
      </c>
      <c r="E225" s="27" t="n">
        <f aca="false">IF($B225="","",IFERROR(INDEX('Liste des ingrédients'!$H$5:$H$98,MATCH($B225,'Liste des ingrédients'!$B$5:$B$98,0)),0))</f>
        <v>2.5</v>
      </c>
      <c r="F225" s="25" t="str">
        <f aca="false">IF($B225="","",IFERROR(INDEX('Liste des ingrédients'!$G$5:$G$98,MATCH($B225,'Liste des ingrédients'!$B$5:$B$98,0)),"?"))</f>
        <v>kg</v>
      </c>
      <c r="G225" s="27" t="n">
        <f aca="false">IF(OR($B225="",$C225=""),0,IFERROR($C225*E225/IF(OR(F225="kg",F225="L"),1000,1),0))</f>
        <v>2</v>
      </c>
      <c r="H225" s="25" t="str">
        <f aca="false">IF(AND($A225&lt;&gt;"",$A225='Fiche plat'!$C$3),COUNTIF($A$5:$A225,'Fiche plat'!$C$3),"")</f>
        <v/>
      </c>
      <c r="I225" s="0" t="str">
        <f aca="false">IF($A225="","",IFERROR(INDEX(Plats!$D$5:$D$48,MATCH($A225,Plats!$I$5:$I$48,0)),""))</f>
        <v>Oui</v>
      </c>
    </row>
    <row r="226" customFormat="false" ht="15" hidden="false" customHeight="false" outlineLevel="0" collapsed="false">
      <c r="A226" s="25" t="s">
        <v>161</v>
      </c>
      <c r="B226" s="25" t="s">
        <v>93</v>
      </c>
      <c r="C226" s="34" t="n">
        <v>100</v>
      </c>
      <c r="D226" s="25" t="str">
        <f aca="false">IF($B226="","",IF(F226="kg","g",IF(F226="L","ml",F226)))</f>
        <v>g</v>
      </c>
      <c r="E226" s="27" t="n">
        <f aca="false">IF($B226="","",IFERROR(INDEX('Liste des ingrédients'!$H$5:$H$98,MATCH($B226,'Liste des ingrédients'!$B$5:$B$98,0)),0))</f>
        <v>1.2</v>
      </c>
      <c r="F226" s="25" t="str">
        <f aca="false">IF($B226="","",IFERROR(INDEX('Liste des ingrédients'!$G$5:$G$98,MATCH($B226,'Liste des ingrédients'!$B$5:$B$98,0)),"?"))</f>
        <v>kg</v>
      </c>
      <c r="G226" s="27" t="n">
        <f aca="false">IF(OR($B226="",$C226=""),0,IFERROR($C226*E226/IF(OR(F226="kg",F226="L"),1000,1),0))</f>
        <v>0.12</v>
      </c>
      <c r="H226" s="25" t="str">
        <f aca="false">IF(AND($A226&lt;&gt;"",$A226='Fiche plat'!$C$3),COUNTIF($A$5:$A226,'Fiche plat'!$C$3),"")</f>
        <v/>
      </c>
      <c r="I226" s="0" t="str">
        <f aca="false">IF($A226="","",IFERROR(INDEX(Plats!$D$5:$D$48,MATCH($A226,Plats!$I$5:$I$48,0)),""))</f>
        <v>Oui</v>
      </c>
    </row>
    <row r="227" customFormat="false" ht="15" hidden="false" customHeight="false" outlineLevel="0" collapsed="false">
      <c r="A227" s="25" t="s">
        <v>161</v>
      </c>
      <c r="B227" s="25" t="s">
        <v>97</v>
      </c>
      <c r="C227" s="34" t="n">
        <v>15</v>
      </c>
      <c r="D227" s="25" t="str">
        <f aca="false">IF($B227="","",IF(F227="kg","g",IF(F227="L","ml",F227)))</f>
        <v>g</v>
      </c>
      <c r="E227" s="27" t="n">
        <f aca="false">IF($B227="","",IFERROR(INDEX('Liste des ingrédients'!$H$5:$H$98,MATCH($B227,'Liste des ingrédients'!$B$5:$B$98,0)),0))</f>
        <v>15</v>
      </c>
      <c r="F227" s="25" t="str">
        <f aca="false">IF($B227="","",IFERROR(INDEX('Liste des ingrédients'!$G$5:$G$98,MATCH($B227,'Liste des ingrédients'!$B$5:$B$98,0)),"?"))</f>
        <v>kg</v>
      </c>
      <c r="G227" s="27" t="n">
        <f aca="false">IF(OR($B227="",$C227=""),0,IFERROR($C227*E227/IF(OR(F227="kg",F227="L"),1000,1),0))</f>
        <v>0.225</v>
      </c>
      <c r="H227" s="25" t="str">
        <f aca="false">IF(AND($A227&lt;&gt;"",$A227='Fiche plat'!$C$3),COUNTIF($A$5:$A227,'Fiche plat'!$C$3),"")</f>
        <v/>
      </c>
      <c r="I227" s="0" t="str">
        <f aca="false">IF($A227="","",IFERROR(INDEX(Plats!$D$5:$D$48,MATCH($A227,Plats!$I$5:$I$48,0)),""))</f>
        <v>Oui</v>
      </c>
    </row>
    <row r="228" customFormat="false" ht="15" hidden="false" customHeight="false" outlineLevel="0" collapsed="false">
      <c r="A228" s="25" t="s">
        <v>161</v>
      </c>
      <c r="B228" s="25" t="s">
        <v>94</v>
      </c>
      <c r="C228" s="34" t="n">
        <v>60</v>
      </c>
      <c r="D228" s="25" t="str">
        <f aca="false">IF($B228="","",IF(F228="kg","g",IF(F228="L","ml",F228)))</f>
        <v>g</v>
      </c>
      <c r="E228" s="27" t="n">
        <f aca="false">IF($B228="","",IFERROR(INDEX('Liste des ingrédients'!$H$5:$H$98,MATCH($B228,'Liste des ingrédients'!$B$5:$B$98,0)),0))</f>
        <v>2.5</v>
      </c>
      <c r="F228" s="25" t="str">
        <f aca="false">IF($B228="","",IFERROR(INDEX('Liste des ingrédients'!$G$5:$G$98,MATCH($B228,'Liste des ingrédients'!$B$5:$B$98,0)),"?"))</f>
        <v>kg</v>
      </c>
      <c r="G228" s="27" t="n">
        <f aca="false">IF(OR($B228="",$C228=""),0,IFERROR($C228*E228/IF(OR(F228="kg",F228="L"),1000,1),0))</f>
        <v>0.15</v>
      </c>
      <c r="H228" s="25" t="str">
        <f aca="false">IF(AND($A228&lt;&gt;"",$A228='Fiche plat'!$C$3),COUNTIF($A$5:$A228,'Fiche plat'!$C$3),"")</f>
        <v/>
      </c>
      <c r="I228" s="0" t="str">
        <f aca="false">IF($A228="","",IFERROR(INDEX(Plats!$D$5:$D$48,MATCH($A228,Plats!$I$5:$I$48,0)),""))</f>
        <v>Oui</v>
      </c>
    </row>
    <row r="229" customFormat="false" ht="15" hidden="false" customHeight="false" outlineLevel="0" collapsed="false">
      <c r="A229" s="25" t="s">
        <v>161</v>
      </c>
      <c r="B229" s="25" t="s">
        <v>95</v>
      </c>
      <c r="C229" s="34" t="n">
        <v>40</v>
      </c>
      <c r="D229" s="25" t="str">
        <f aca="false">IF($B229="","",IF(F229="kg","g",IF(F229="L","ml",F229)))</f>
        <v>g</v>
      </c>
      <c r="E229" s="27" t="n">
        <f aca="false">IF($B229="","",IFERROR(INDEX('Liste des ingrédients'!$H$5:$H$98,MATCH($B229,'Liste des ingrédients'!$B$5:$B$98,0)),0))</f>
        <v>9</v>
      </c>
      <c r="F229" s="25" t="str">
        <f aca="false">IF($B229="","",IFERROR(INDEX('Liste des ingrédients'!$G$5:$G$98,MATCH($B229,'Liste des ingrédients'!$B$5:$B$98,0)),"?"))</f>
        <v>kg</v>
      </c>
      <c r="G229" s="27" t="n">
        <f aca="false">IF(OR($B229="",$C229=""),0,IFERROR($C229*E229/IF(OR(F229="kg",F229="L"),1000,1),0))</f>
        <v>0.36</v>
      </c>
      <c r="H229" s="25" t="str">
        <f aca="false">IF(AND($A229&lt;&gt;"",$A229='Fiche plat'!$C$3),COUNTIF($A$5:$A229,'Fiche plat'!$C$3),"")</f>
        <v/>
      </c>
      <c r="I229" s="0" t="str">
        <f aca="false">IF($A229="","",IFERROR(INDEX(Plats!$D$5:$D$48,MATCH($A229,Plats!$I$5:$I$48,0)),""))</f>
        <v>Oui</v>
      </c>
    </row>
    <row r="230" customFormat="false" ht="15" hidden="false" customHeight="false" outlineLevel="0" collapsed="false">
      <c r="A230" s="25" t="s">
        <v>161</v>
      </c>
      <c r="B230" s="25" t="s">
        <v>96</v>
      </c>
      <c r="C230" s="34" t="n">
        <v>15</v>
      </c>
      <c r="D230" s="25" t="str">
        <f aca="false">IF($B230="","",IF(F230="kg","g",IF(F230="L","ml",F230)))</f>
        <v>g</v>
      </c>
      <c r="E230" s="27" t="n">
        <f aca="false">IF($B230="","",IFERROR(INDEX('Liste des ingrédients'!$H$5:$H$98,MATCH($B230,'Liste des ingrédients'!$B$5:$B$98,0)),0))</f>
        <v>11</v>
      </c>
      <c r="F230" s="25" t="str">
        <f aca="false">IF($B230="","",IFERROR(INDEX('Liste des ingrédients'!$G$5:$G$98,MATCH($B230,'Liste des ingrédients'!$B$5:$B$98,0)),"?"))</f>
        <v>kg</v>
      </c>
      <c r="G230" s="27" t="n">
        <f aca="false">IF(OR($B230="",$C230=""),0,IFERROR($C230*E230/IF(OR(F230="kg",F230="L"),1000,1),0))</f>
        <v>0.165</v>
      </c>
      <c r="H230" s="25" t="str">
        <f aca="false">IF(AND($A230&lt;&gt;"",$A230='Fiche plat'!$C$3),COUNTIF($A$5:$A230,'Fiche plat'!$C$3),"")</f>
        <v/>
      </c>
      <c r="I230" s="0" t="str">
        <f aca="false">IF($A230="","",IFERROR(INDEX(Plats!$D$5:$D$48,MATCH($A230,Plats!$I$5:$I$48,0)),""))</f>
        <v>Oui</v>
      </c>
    </row>
    <row r="231" customFormat="false" ht="15" hidden="false" customHeight="false" outlineLevel="0" collapsed="false">
      <c r="A231" s="25" t="s">
        <v>161</v>
      </c>
      <c r="B231" s="25" t="s">
        <v>117</v>
      </c>
      <c r="C231" s="34" t="n">
        <v>2.5</v>
      </c>
      <c r="D231" s="25" t="str">
        <f aca="false">IF($B231="","",IF(F231="kg","g",IF(F231="L","ml",F231)))</f>
        <v>g</v>
      </c>
      <c r="E231" s="27" t="n">
        <f aca="false">IF($B231="","",IFERROR(INDEX('Liste des ingrédients'!$H$5:$H$98,MATCH($B231,'Liste des ingrédients'!$B$5:$B$98,0)),0))</f>
        <v>33</v>
      </c>
      <c r="F231" s="25" t="str">
        <f aca="false">IF($B231="","",IFERROR(INDEX('Liste des ingrédients'!$G$5:$G$98,MATCH($B231,'Liste des ingrédients'!$B$5:$B$98,0)),"?"))</f>
        <v>kg</v>
      </c>
      <c r="G231" s="27" t="n">
        <f aca="false">IF(OR($B231="",$C231=""),0,IFERROR($C231*E231/IF(OR(F231="kg",F231="L"),1000,1),0))</f>
        <v>0.0825</v>
      </c>
      <c r="H231" s="25" t="str">
        <f aca="false">IF(AND($A231&lt;&gt;"",$A231='Fiche plat'!$C$3),COUNTIF($A$5:$A231,'Fiche plat'!$C$3),"")</f>
        <v/>
      </c>
      <c r="I231" s="0" t="str">
        <f aca="false">IF($A231="","",IFERROR(INDEX(Plats!$D$5:$D$48,MATCH($A231,Plats!$I$5:$I$48,0)),""))</f>
        <v>Oui</v>
      </c>
    </row>
    <row r="232" customFormat="false" ht="15" hidden="false" customHeight="false" outlineLevel="0" collapsed="false">
      <c r="A232" s="25" t="s">
        <v>161</v>
      </c>
      <c r="B232" s="25" t="s">
        <v>99</v>
      </c>
      <c r="C232" s="34" t="n">
        <v>1</v>
      </c>
      <c r="D232" s="25" t="str">
        <f aca="false">IF($B232="","",IF(F232="kg","g",IF(F232="L","ml",F232)))</f>
        <v>g</v>
      </c>
      <c r="E232" s="27" t="n">
        <f aca="false">IF($B232="","",IFERROR(INDEX('Liste des ingrédients'!$H$5:$H$98,MATCH($B232,'Liste des ingrédients'!$B$5:$B$98,0)),0))</f>
        <v>40</v>
      </c>
      <c r="F232" s="25" t="str">
        <f aca="false">IF($B232="","",IFERROR(INDEX('Liste des ingrédients'!$G$5:$G$98,MATCH($B232,'Liste des ingrédients'!$B$5:$B$98,0)),"?"))</f>
        <v>kg</v>
      </c>
      <c r="G232" s="27" t="n">
        <f aca="false">IF(OR($B232="",$C232=""),0,IFERROR($C232*E232/IF(OR(F232="kg",F232="L"),1000,1),0))</f>
        <v>0.04</v>
      </c>
      <c r="H232" s="25" t="str">
        <f aca="false">IF(AND($A232&lt;&gt;"",$A232='Fiche plat'!$C$3),COUNTIF($A$5:$A232,'Fiche plat'!$C$3),"")</f>
        <v/>
      </c>
      <c r="I232" s="0" t="str">
        <f aca="false">IF($A232="","",IFERROR(INDEX(Plats!$D$5:$D$48,MATCH($A232,Plats!$I$5:$I$48,0)),""))</f>
        <v>Oui</v>
      </c>
    </row>
    <row r="233" customFormat="false" ht="15" hidden="false" customHeight="false" outlineLevel="0" collapsed="false">
      <c r="A233" s="25" t="s">
        <v>161</v>
      </c>
      <c r="B233" s="25" t="s">
        <v>124</v>
      </c>
      <c r="C233" s="34" t="n">
        <v>2.5</v>
      </c>
      <c r="D233" s="25" t="str">
        <f aca="false">IF($B233="","",IF(F233="kg","g",IF(F233="L","ml",F233)))</f>
        <v>g</v>
      </c>
      <c r="E233" s="27" t="n">
        <f aca="false">IF($B233="","",IFERROR(INDEX('Liste des ingrédients'!$H$5:$H$98,MATCH($B233,'Liste des ingrédients'!$B$5:$B$98,0)),0))</f>
        <v>40</v>
      </c>
      <c r="F233" s="25" t="str">
        <f aca="false">IF($B233="","",IFERROR(INDEX('Liste des ingrédients'!$G$5:$G$98,MATCH($B233,'Liste des ingrédients'!$B$5:$B$98,0)),"?"))</f>
        <v>kg</v>
      </c>
      <c r="G233" s="27" t="n">
        <f aca="false">IF(OR($B233="",$C233=""),0,IFERROR($C233*E233/IF(OR(F233="kg",F233="L"),1000,1),0))</f>
        <v>0.1</v>
      </c>
      <c r="H233" s="25" t="str">
        <f aca="false">IF(AND($A233&lt;&gt;"",$A233='Fiche plat'!$C$3),COUNTIF($A$5:$A233,'Fiche plat'!$C$3),"")</f>
        <v/>
      </c>
      <c r="I233" s="0" t="str">
        <f aca="false">IF($A233="","",IFERROR(INDEX(Plats!$D$5:$D$48,MATCH($A233,Plats!$I$5:$I$48,0)),""))</f>
        <v>Oui</v>
      </c>
    </row>
    <row r="234" customFormat="false" ht="15" hidden="false" customHeight="false" outlineLevel="0" collapsed="false">
      <c r="A234" s="25" t="s">
        <v>161</v>
      </c>
      <c r="B234" s="25" t="s">
        <v>143</v>
      </c>
      <c r="C234" s="34" t="n">
        <v>0.28</v>
      </c>
      <c r="D234" s="25" t="str">
        <f aca="false">IF($B234="","",IF(F234="kg","g",IF(F234="L","ml",F234)))</f>
        <v>forfait</v>
      </c>
      <c r="E234" s="27" t="n">
        <f aca="false">IF($B234="","",IFERROR(INDEX('Liste des ingrédients'!$H$5:$H$98,MATCH($B234,'Liste des ingrédients'!$B$5:$B$98,0)),0))</f>
        <v>0.2</v>
      </c>
      <c r="F234" s="25" t="str">
        <f aca="false">IF($B234="","",IFERROR(INDEX('Liste des ingrédients'!$G$5:$G$98,MATCH($B234,'Liste des ingrédients'!$B$5:$B$98,0)),"?"))</f>
        <v>forfait</v>
      </c>
      <c r="G234" s="27" t="n">
        <f aca="false">IF(OR($B234="",$C234=""),0,IFERROR($C234*E234/IF(OR(F234="kg",F234="L"),1000,1),0))</f>
        <v>0.056</v>
      </c>
      <c r="H234" s="25" t="str">
        <f aca="false">IF(AND($A234&lt;&gt;"",$A234='Fiche plat'!$C$3),COUNTIF($A$5:$A234,'Fiche plat'!$C$3),"")</f>
        <v/>
      </c>
      <c r="I234" s="0" t="str">
        <f aca="false">IF($A234="","",IFERROR(INDEX(Plats!$D$5:$D$48,MATCH($A234,Plats!$I$5:$I$48,0)),""))</f>
        <v>Oui</v>
      </c>
    </row>
    <row r="235" customFormat="false" ht="15" hidden="false" customHeight="false" outlineLevel="0" collapsed="false">
      <c r="A235" s="25" t="s">
        <v>161</v>
      </c>
      <c r="B235" s="25" t="s">
        <v>101</v>
      </c>
      <c r="C235" s="34" t="n">
        <v>75</v>
      </c>
      <c r="D235" s="25" t="str">
        <f aca="false">IF($B235="","",IF(F235="kg","g",IF(F235="L","ml",F235)))</f>
        <v>ml</v>
      </c>
      <c r="E235" s="27" t="n">
        <f aca="false">IF($B235="","",IFERROR(INDEX('Liste des ingrédients'!$H$5:$H$98,MATCH($B235,'Liste des ingrédients'!$B$5:$B$98,0)),0))</f>
        <v>12.5</v>
      </c>
      <c r="F235" s="25" t="str">
        <f aca="false">IF($B235="","",IFERROR(INDEX('Liste des ingrédients'!$G$5:$G$98,MATCH($B235,'Liste des ingrédients'!$B$5:$B$98,0)),"?"))</f>
        <v>L</v>
      </c>
      <c r="G235" s="27" t="n">
        <f aca="false">IF(OR($B235="",$C235=""),0,IFERROR($C235*E235/IF(OR(F235="kg",F235="L"),1000,1),0))</f>
        <v>0.9375</v>
      </c>
      <c r="H235" s="25" t="str">
        <f aca="false">IF(AND($A235&lt;&gt;"",$A235='Fiche plat'!$C$3),COUNTIF($A$5:$A235,'Fiche plat'!$C$3),"")</f>
        <v/>
      </c>
      <c r="I235" s="0" t="str">
        <f aca="false">IF($A235="","",IFERROR(INDEX(Plats!$D$5:$D$48,MATCH($A235,Plats!$I$5:$I$48,0)),""))</f>
        <v>Oui</v>
      </c>
    </row>
    <row r="236" customFormat="false" ht="15" hidden="false" customHeight="false" outlineLevel="0" collapsed="false">
      <c r="A236" s="25" t="s">
        <v>161</v>
      </c>
      <c r="B236" s="25" t="s">
        <v>102</v>
      </c>
      <c r="C236" s="34" t="n">
        <v>9</v>
      </c>
      <c r="D236" s="25" t="str">
        <f aca="false">IF($B236="","",IF(F236="kg","g",IF(F236="L","ml",F236)))</f>
        <v>g</v>
      </c>
      <c r="E236" s="27" t="n">
        <f aca="false">IF($B236="","",IFERROR(INDEX('Liste des ingrédients'!$H$5:$H$98,MATCH($B236,'Liste des ingrédients'!$B$5:$B$98,0)),0))</f>
        <v>0.8</v>
      </c>
      <c r="F236" s="25" t="str">
        <f aca="false">IF($B236="","",IFERROR(INDEX('Liste des ingrédients'!$G$5:$G$98,MATCH($B236,'Liste des ingrédients'!$B$5:$B$98,0)),"?"))</f>
        <v>kg</v>
      </c>
      <c r="G236" s="27" t="n">
        <f aca="false">IF(OR($B236="",$C236=""),0,IFERROR($C236*E236/IF(OR(F236="kg",F236="L"),1000,1),0))</f>
        <v>0.0072</v>
      </c>
      <c r="H236" s="25" t="str">
        <f aca="false">IF(AND($A236&lt;&gt;"",$A236='Fiche plat'!$C$3),COUNTIF($A$5:$A236,'Fiche plat'!$C$3),"")</f>
        <v/>
      </c>
      <c r="I236" s="0" t="str">
        <f aca="false">IF($A236="","",IFERROR(INDEX(Plats!$D$5:$D$48,MATCH($A236,Plats!$I$5:$I$48,0)),""))</f>
        <v>Oui</v>
      </c>
    </row>
    <row r="237" customFormat="false" ht="15" hidden="false" customHeight="false" outlineLevel="0" collapsed="false">
      <c r="A237" s="25" t="s">
        <v>161</v>
      </c>
      <c r="B237" s="25" t="s">
        <v>103</v>
      </c>
      <c r="C237" s="34" t="n">
        <v>1</v>
      </c>
      <c r="D237" s="25" t="str">
        <f aca="false">IF($B237="","",IF(F237="kg","g",IF(F237="L","ml",F237)))</f>
        <v>g</v>
      </c>
      <c r="E237" s="27" t="n">
        <f aca="false">IF($B237="","",IFERROR(INDEX('Liste des ingrédients'!$H$5:$H$98,MATCH($B237,'Liste des ingrédients'!$B$5:$B$98,0)),0))</f>
        <v>50</v>
      </c>
      <c r="F237" s="25" t="str">
        <f aca="false">IF($B237="","",IFERROR(INDEX('Liste des ingrédients'!$G$5:$G$98,MATCH($B237,'Liste des ingrédients'!$B$5:$B$98,0)),"?"))</f>
        <v>kg</v>
      </c>
      <c r="G237" s="27" t="n">
        <f aca="false">IF(OR($B237="",$C237=""),0,IFERROR($C237*E237/IF(OR(F237="kg",F237="L"),1000,1),0))</f>
        <v>0.05</v>
      </c>
      <c r="H237" s="25" t="str">
        <f aca="false">IF(AND($A237&lt;&gt;"",$A237='Fiche plat'!$C$3),COUNTIF($A$5:$A237,'Fiche plat'!$C$3),"")</f>
        <v/>
      </c>
      <c r="I237" s="0" t="str">
        <f aca="false">IF($A237="","",IFERROR(INDEX(Plats!$D$5:$D$48,MATCH($A237,Plats!$I$5:$I$48,0)),""))</f>
        <v>Oui</v>
      </c>
    </row>
    <row r="238" customFormat="false" ht="15" hidden="false" customHeight="false" outlineLevel="0" collapsed="false">
      <c r="A238" s="22" t="s">
        <v>162</v>
      </c>
      <c r="B238" s="22" t="s">
        <v>154</v>
      </c>
      <c r="C238" s="35" t="n">
        <v>600</v>
      </c>
      <c r="D238" s="22" t="str">
        <f aca="false">IF($B238="","",IF(F238="kg","g",IF(F238="L","ml",F238)))</f>
        <v>g</v>
      </c>
      <c r="E238" s="24" t="n">
        <f aca="false">IF($B238="","",IFERROR(INDEX('Liste des ingrédients'!$H$5:$H$98,MATCH($B238,'Liste des ingrédients'!$B$5:$B$98,0)),0))</f>
        <v>19.4</v>
      </c>
      <c r="F238" s="22" t="str">
        <f aca="false">IF($B238="","",IFERROR(INDEX('Liste des ingrédients'!$G$5:$G$98,MATCH($B238,'Liste des ingrédients'!$B$5:$B$98,0)),"?"))</f>
        <v>kg</v>
      </c>
      <c r="G238" s="24" t="n">
        <f aca="false">IF(OR($B238="",$C238=""),0,IFERROR($C238*E238/IF(OR(F238="kg",F238="L"),1000,1),0))</f>
        <v>11.64</v>
      </c>
      <c r="H238" s="22" t="str">
        <f aca="false">IF(AND($A238&lt;&gt;"",$A238='Fiche plat'!$C$3),COUNTIF($A$5:$A238,'Fiche plat'!$C$3),"")</f>
        <v/>
      </c>
      <c r="I238" s="0" t="str">
        <f aca="false">IF($A238="","",IFERROR(INDEX(Plats!$D$5:$D$48,MATCH($A238,Plats!$I$5:$I$48,0)),""))</f>
        <v>Oui</v>
      </c>
    </row>
    <row r="239" customFormat="false" ht="15" hidden="false" customHeight="false" outlineLevel="0" collapsed="false">
      <c r="A239" s="22" t="s">
        <v>162</v>
      </c>
      <c r="B239" s="22" t="s">
        <v>101</v>
      </c>
      <c r="C239" s="35" t="n">
        <v>75</v>
      </c>
      <c r="D239" s="22" t="str">
        <f aca="false">IF($B239="","",IF(F239="kg","g",IF(F239="L","ml",F239)))</f>
        <v>ml</v>
      </c>
      <c r="E239" s="24" t="n">
        <f aca="false">IF($B239="","",IFERROR(INDEX('Liste des ingrédients'!$H$5:$H$98,MATCH($B239,'Liste des ingrédients'!$B$5:$B$98,0)),0))</f>
        <v>12.5</v>
      </c>
      <c r="F239" s="22" t="str">
        <f aca="false">IF($B239="","",IFERROR(INDEX('Liste des ingrédients'!$G$5:$G$98,MATCH($B239,'Liste des ingrédients'!$B$5:$B$98,0)),"?"))</f>
        <v>L</v>
      </c>
      <c r="G239" s="24" t="n">
        <f aca="false">IF(OR($B239="",$C239=""),0,IFERROR($C239*E239/IF(OR(F239="kg",F239="L"),1000,1),0))</f>
        <v>0.9375</v>
      </c>
      <c r="H239" s="22" t="str">
        <f aca="false">IF(AND($A239&lt;&gt;"",$A239='Fiche plat'!$C$3),COUNTIF($A$5:$A239,'Fiche plat'!$C$3),"")</f>
        <v/>
      </c>
      <c r="I239" s="0" t="str">
        <f aca="false">IF($A239="","",IFERROR(INDEX(Plats!$D$5:$D$48,MATCH($A239,Plats!$I$5:$I$48,0)),""))</f>
        <v>Oui</v>
      </c>
    </row>
    <row r="240" customFormat="false" ht="15" hidden="false" customHeight="false" outlineLevel="0" collapsed="false">
      <c r="A240" s="22" t="s">
        <v>162</v>
      </c>
      <c r="B240" s="22" t="s">
        <v>104</v>
      </c>
      <c r="C240" s="35" t="n">
        <v>150</v>
      </c>
      <c r="D240" s="22" t="str">
        <f aca="false">IF($B240="","",IF(F240="kg","g",IF(F240="L","ml",F240)))</f>
        <v>g</v>
      </c>
      <c r="E240" s="24" t="n">
        <f aca="false">IF($B240="","",IFERROR(INDEX('Liste des ingrédients'!$H$5:$H$98,MATCH($B240,'Liste des ingrédients'!$B$5:$B$98,0)),0))</f>
        <v>3</v>
      </c>
      <c r="F240" s="22" t="str">
        <f aca="false">IF($B240="","",IFERROR(INDEX('Liste des ingrédients'!$G$5:$G$98,MATCH($B240,'Liste des ingrédients'!$B$5:$B$98,0)),"?"))</f>
        <v>kg</v>
      </c>
      <c r="G240" s="24" t="n">
        <f aca="false">IF(OR($B240="",$C240=""),0,IFERROR($C240*E240/IF(OR(F240="kg",F240="L"),1000,1),0))</f>
        <v>0.45</v>
      </c>
      <c r="H240" s="22" t="str">
        <f aca="false">IF(AND($A240&lt;&gt;"",$A240='Fiche plat'!$C$3),COUNTIF($A$5:$A240,'Fiche plat'!$C$3),"")</f>
        <v/>
      </c>
      <c r="I240" s="0" t="str">
        <f aca="false">IF($A240="","",IFERROR(INDEX(Plats!$D$5:$D$48,MATCH($A240,Plats!$I$5:$I$48,0)),""))</f>
        <v>Oui</v>
      </c>
    </row>
    <row r="241" customFormat="false" ht="15" hidden="false" customHeight="false" outlineLevel="0" collapsed="false">
      <c r="A241" s="22" t="s">
        <v>162</v>
      </c>
      <c r="B241" s="22" t="s">
        <v>97</v>
      </c>
      <c r="C241" s="35" t="n">
        <v>10</v>
      </c>
      <c r="D241" s="22" t="str">
        <f aca="false">IF($B241="","",IF(F241="kg","g",IF(F241="L","ml",F241)))</f>
        <v>g</v>
      </c>
      <c r="E241" s="24" t="n">
        <f aca="false">IF($B241="","",IFERROR(INDEX('Liste des ingrédients'!$H$5:$H$98,MATCH($B241,'Liste des ingrédients'!$B$5:$B$98,0)),0))</f>
        <v>15</v>
      </c>
      <c r="F241" s="22" t="str">
        <f aca="false">IF($B241="","",IFERROR(INDEX('Liste des ingrédients'!$G$5:$G$98,MATCH($B241,'Liste des ingrédients'!$B$5:$B$98,0)),"?"))</f>
        <v>kg</v>
      </c>
      <c r="G241" s="24" t="n">
        <f aca="false">IF(OR($B241="",$C241=""),0,IFERROR($C241*E241/IF(OR(F241="kg",F241="L"),1000,1),0))</f>
        <v>0.15</v>
      </c>
      <c r="H241" s="22" t="str">
        <f aca="false">IF(AND($A241&lt;&gt;"",$A241='Fiche plat'!$C$3),COUNTIF($A$5:$A241,'Fiche plat'!$C$3),"")</f>
        <v/>
      </c>
      <c r="I241" s="0" t="str">
        <f aca="false">IF($A241="","",IFERROR(INDEX(Plats!$D$5:$D$48,MATCH($A241,Plats!$I$5:$I$48,0)),""))</f>
        <v>Oui</v>
      </c>
    </row>
    <row r="242" customFormat="false" ht="15" hidden="false" customHeight="false" outlineLevel="0" collapsed="false">
      <c r="A242" s="22" t="s">
        <v>162</v>
      </c>
      <c r="B242" s="22" t="s">
        <v>117</v>
      </c>
      <c r="C242" s="35" t="n">
        <v>1.5</v>
      </c>
      <c r="D242" s="22" t="str">
        <f aca="false">IF($B242="","",IF(F242="kg","g",IF(F242="L","ml",F242)))</f>
        <v>g</v>
      </c>
      <c r="E242" s="24" t="n">
        <f aca="false">IF($B242="","",IFERROR(INDEX('Liste des ingrédients'!$H$5:$H$98,MATCH($B242,'Liste des ingrédients'!$B$5:$B$98,0)),0))</f>
        <v>33</v>
      </c>
      <c r="F242" s="22" t="str">
        <f aca="false">IF($B242="","",IFERROR(INDEX('Liste des ingrédients'!$G$5:$G$98,MATCH($B242,'Liste des ingrédients'!$B$5:$B$98,0)),"?"))</f>
        <v>kg</v>
      </c>
      <c r="G242" s="24" t="n">
        <f aca="false">IF(OR($B242="",$C242=""),0,IFERROR($C242*E242/IF(OR(F242="kg",F242="L"),1000,1),0))</f>
        <v>0.0495</v>
      </c>
      <c r="H242" s="22" t="str">
        <f aca="false">IF(AND($A242&lt;&gt;"",$A242='Fiche plat'!$C$3),COUNTIF($A$5:$A242,'Fiche plat'!$C$3),"")</f>
        <v/>
      </c>
      <c r="I242" s="0" t="str">
        <f aca="false">IF($A242="","",IFERROR(INDEX(Plats!$D$5:$D$48,MATCH($A242,Plats!$I$5:$I$48,0)),""))</f>
        <v>Oui</v>
      </c>
    </row>
    <row r="243" customFormat="false" ht="15" hidden="false" customHeight="false" outlineLevel="0" collapsed="false">
      <c r="A243" s="22" t="s">
        <v>162</v>
      </c>
      <c r="B243" s="22" t="s">
        <v>102</v>
      </c>
      <c r="C243" s="35" t="n">
        <v>9</v>
      </c>
      <c r="D243" s="22" t="str">
        <f aca="false">IF($B243="","",IF(F243="kg","g",IF(F243="L","ml",F243)))</f>
        <v>g</v>
      </c>
      <c r="E243" s="24" t="n">
        <f aca="false">IF($B243="","",IFERROR(INDEX('Liste des ingrédients'!$H$5:$H$98,MATCH($B243,'Liste des ingrédients'!$B$5:$B$98,0)),0))</f>
        <v>0.8</v>
      </c>
      <c r="F243" s="22" t="str">
        <f aca="false">IF($B243="","",IFERROR(INDEX('Liste des ingrédients'!$G$5:$G$98,MATCH($B243,'Liste des ingrédients'!$B$5:$B$98,0)),"?"))</f>
        <v>kg</v>
      </c>
      <c r="G243" s="24" t="n">
        <f aca="false">IF(OR($B243="",$C243=""),0,IFERROR($C243*E243/IF(OR(F243="kg",F243="L"),1000,1),0))</f>
        <v>0.0072</v>
      </c>
      <c r="H243" s="22" t="str">
        <f aca="false">IF(AND($A243&lt;&gt;"",$A243='Fiche plat'!$C$3),COUNTIF($A$5:$A243,'Fiche plat'!$C$3),"")</f>
        <v/>
      </c>
      <c r="I243" s="0" t="str">
        <f aca="false">IF($A243="","",IFERROR(INDEX(Plats!$D$5:$D$48,MATCH($A243,Plats!$I$5:$I$48,0)),""))</f>
        <v>Oui</v>
      </c>
    </row>
    <row r="244" customFormat="false" ht="15" hidden="false" customHeight="false" outlineLevel="0" collapsed="false">
      <c r="A244" s="22" t="s">
        <v>162</v>
      </c>
      <c r="B244" s="22" t="s">
        <v>103</v>
      </c>
      <c r="C244" s="35" t="n">
        <v>1</v>
      </c>
      <c r="D244" s="22" t="str">
        <f aca="false">IF($B244="","",IF(F244="kg","g",IF(F244="L","ml",F244)))</f>
        <v>g</v>
      </c>
      <c r="E244" s="24" t="n">
        <f aca="false">IF($B244="","",IFERROR(INDEX('Liste des ingrédients'!$H$5:$H$98,MATCH($B244,'Liste des ingrédients'!$B$5:$B$98,0)),0))</f>
        <v>50</v>
      </c>
      <c r="F244" s="22" t="str">
        <f aca="false">IF($B244="","",IFERROR(INDEX('Liste des ingrédients'!$G$5:$G$98,MATCH($B244,'Liste des ingrédients'!$B$5:$B$98,0)),"?"))</f>
        <v>kg</v>
      </c>
      <c r="G244" s="24" t="n">
        <f aca="false">IF(OR($B244="",$C244=""),0,IFERROR($C244*E244/IF(OR(F244="kg",F244="L"),1000,1),0))</f>
        <v>0.05</v>
      </c>
      <c r="H244" s="22" t="str">
        <f aca="false">IF(AND($A244&lt;&gt;"",$A244='Fiche plat'!$C$3),COUNTIF($A$5:$A244,'Fiche plat'!$C$3),"")</f>
        <v/>
      </c>
      <c r="I244" s="0" t="str">
        <f aca="false">IF($A244="","",IFERROR(INDEX(Plats!$D$5:$D$48,MATCH($A244,Plats!$I$5:$I$48,0)),""))</f>
        <v>Oui</v>
      </c>
    </row>
    <row r="245" customFormat="false" ht="15" hidden="false" customHeight="false" outlineLevel="0" collapsed="false">
      <c r="A245" s="22" t="s">
        <v>162</v>
      </c>
      <c r="B245" s="22" t="s">
        <v>138</v>
      </c>
      <c r="C245" s="35" t="n">
        <v>1</v>
      </c>
      <c r="D245" s="22" t="str">
        <f aca="false">IF($B245="","",IF(F245="kg","g",IF(F245="L","ml",F245)))</f>
        <v>pièce</v>
      </c>
      <c r="E245" s="24" t="n">
        <f aca="false">IF($B245="","",IFERROR(INDEX('Liste des ingrédients'!$H$5:$H$98,MATCH($B245,'Liste des ingrédients'!$B$5:$B$98,0)),0))</f>
        <v>1</v>
      </c>
      <c r="F245" s="22" t="str">
        <f aca="false">IF($B245="","",IFERROR(INDEX('Liste des ingrédients'!$G$5:$G$98,MATCH($B245,'Liste des ingrédients'!$B$5:$B$98,0)),"?"))</f>
        <v>pièce</v>
      </c>
      <c r="G245" s="24" t="n">
        <f aca="false">IF(OR($B245="",$C245=""),0,IFERROR($C245*E245/IF(OR(F245="kg",F245="L"),1000,1),0))</f>
        <v>1</v>
      </c>
      <c r="H245" s="22" t="str">
        <f aca="false">IF(AND($A245&lt;&gt;"",$A245='Fiche plat'!$C$3),COUNTIF($A$5:$A245,'Fiche plat'!$C$3),"")</f>
        <v/>
      </c>
      <c r="I245" s="0" t="str">
        <f aca="false">IF($A245="","",IFERROR(INDEX(Plats!$D$5:$D$48,MATCH($A245,Plats!$I$5:$I$48,0)),""))</f>
        <v>Oui</v>
      </c>
    </row>
    <row r="246" customFormat="false" ht="15" hidden="false" customHeight="false" outlineLevel="0" collapsed="false">
      <c r="A246" s="22" t="s">
        <v>162</v>
      </c>
      <c r="B246" s="22" t="s">
        <v>108</v>
      </c>
      <c r="C246" s="35" t="n">
        <v>250</v>
      </c>
      <c r="D246" s="22" t="str">
        <f aca="false">IF($B246="","",IF(F246="kg","g",IF(F246="L","ml",F246)))</f>
        <v>g</v>
      </c>
      <c r="E246" s="24" t="n">
        <f aca="false">IF($B246="","",IFERROR(INDEX('Liste des ingrédients'!$H$5:$H$98,MATCH($B246,'Liste des ingrédients'!$B$5:$B$98,0)),0))</f>
        <v>2</v>
      </c>
      <c r="F246" s="22" t="str">
        <f aca="false">IF($B246="","",IFERROR(INDEX('Liste des ingrédients'!$G$5:$G$98,MATCH($B246,'Liste des ingrédients'!$B$5:$B$98,0)),"?"))</f>
        <v>kg</v>
      </c>
      <c r="G246" s="24" t="n">
        <f aca="false">IF(OR($B246="",$C246=""),0,IFERROR($C246*E246/IF(OR(F246="kg",F246="L"),1000,1),0))</f>
        <v>0.5</v>
      </c>
      <c r="H246" s="22" t="str">
        <f aca="false">IF(AND($A246&lt;&gt;"",$A246='Fiche plat'!$C$3),COUNTIF($A$5:$A246,'Fiche plat'!$C$3),"")</f>
        <v/>
      </c>
      <c r="I246" s="0" t="str">
        <f aca="false">IF($A246="","",IFERROR(INDEX(Plats!$D$5:$D$48,MATCH($A246,Plats!$I$5:$I$48,0)),""))</f>
        <v>Oui</v>
      </c>
    </row>
    <row r="247" customFormat="false" ht="15" hidden="false" customHeight="false" outlineLevel="0" collapsed="false">
      <c r="A247" s="22" t="s">
        <v>162</v>
      </c>
      <c r="B247" s="22" t="s">
        <v>139</v>
      </c>
      <c r="C247" s="35" t="n">
        <v>200</v>
      </c>
      <c r="D247" s="22" t="str">
        <f aca="false">IF($B247="","",IF(F247="kg","g",IF(F247="L","ml",F247)))</f>
        <v>g</v>
      </c>
      <c r="E247" s="24" t="n">
        <f aca="false">IF($B247="","",IFERROR(INDEX('Liste des ingrédients'!$H$5:$H$98,MATCH($B247,'Liste des ingrédients'!$B$5:$B$98,0)),0))</f>
        <v>2.5</v>
      </c>
      <c r="F247" s="22" t="str">
        <f aca="false">IF($B247="","",IFERROR(INDEX('Liste des ingrédients'!$G$5:$G$98,MATCH($B247,'Liste des ingrédients'!$B$5:$B$98,0)),"?"))</f>
        <v>kg</v>
      </c>
      <c r="G247" s="24" t="n">
        <f aca="false">IF(OR($B247="",$C247=""),0,IFERROR($C247*E247/IF(OR(F247="kg",F247="L"),1000,1),0))</f>
        <v>0.5</v>
      </c>
      <c r="H247" s="22" t="str">
        <f aca="false">IF(AND($A247&lt;&gt;"",$A247='Fiche plat'!$C$3),COUNTIF($A$5:$A247,'Fiche plat'!$C$3),"")</f>
        <v/>
      </c>
      <c r="I247" s="0" t="str">
        <f aca="false">IF($A247="","",IFERROR(INDEX(Plats!$D$5:$D$48,MATCH($A247,Plats!$I$5:$I$48,0)),""))</f>
        <v>Oui</v>
      </c>
    </row>
    <row r="248" customFormat="false" ht="15" hidden="false" customHeight="false" outlineLevel="0" collapsed="false">
      <c r="A248" s="22" t="s">
        <v>162</v>
      </c>
      <c r="B248" s="22" t="s">
        <v>93</v>
      </c>
      <c r="C248" s="35" t="n">
        <v>50</v>
      </c>
      <c r="D248" s="22" t="str">
        <f aca="false">IF($B248="","",IF(F248="kg","g",IF(F248="L","ml",F248)))</f>
        <v>g</v>
      </c>
      <c r="E248" s="24" t="n">
        <f aca="false">IF($B248="","",IFERROR(INDEX('Liste des ingrédients'!$H$5:$H$98,MATCH($B248,'Liste des ingrédients'!$B$5:$B$98,0)),0))</f>
        <v>1.2</v>
      </c>
      <c r="F248" s="22" t="str">
        <f aca="false">IF($B248="","",IFERROR(INDEX('Liste des ingrédients'!$G$5:$G$98,MATCH($B248,'Liste des ingrédients'!$B$5:$B$98,0)),"?"))</f>
        <v>kg</v>
      </c>
      <c r="G248" s="24" t="n">
        <f aca="false">IF(OR($B248="",$C248=""),0,IFERROR($C248*E248/IF(OR(F248="kg",F248="L"),1000,1),0))</f>
        <v>0.06</v>
      </c>
      <c r="H248" s="22" t="str">
        <f aca="false">IF(AND($A248&lt;&gt;"",$A248='Fiche plat'!$C$3),COUNTIF($A$5:$A248,'Fiche plat'!$C$3),"")</f>
        <v/>
      </c>
      <c r="I248" s="0" t="str">
        <f aca="false">IF($A248="","",IFERROR(INDEX(Plats!$D$5:$D$48,MATCH($A248,Plats!$I$5:$I$48,0)),""))</f>
        <v>Oui</v>
      </c>
    </row>
    <row r="249" customFormat="false" ht="15" hidden="false" customHeight="false" outlineLevel="0" collapsed="false">
      <c r="A249" s="25" t="s">
        <v>163</v>
      </c>
      <c r="B249" s="25" t="s">
        <v>133</v>
      </c>
      <c r="C249" s="34" t="n">
        <v>400</v>
      </c>
      <c r="D249" s="25" t="str">
        <f aca="false">IF($B249="","",IF(F249="kg","g",IF(F249="L","ml",F249)))</f>
        <v>g</v>
      </c>
      <c r="E249" s="27" t="n">
        <f aca="false">IF($B249="","",IFERROR(INDEX('Liste des ingrédients'!$H$5:$H$98,MATCH($B249,'Liste des ingrédients'!$B$5:$B$98,0)),0))</f>
        <v>3.1</v>
      </c>
      <c r="F249" s="25" t="str">
        <f aca="false">IF($B249="","",IFERROR(INDEX('Liste des ingrédients'!$G$5:$G$98,MATCH($B249,'Liste des ingrédients'!$B$5:$B$98,0)),"?"))</f>
        <v>kg</v>
      </c>
      <c r="G249" s="27" t="n">
        <f aca="false">IF(OR($B249="",$C249=""),0,IFERROR($C249*E249/IF(OR(F249="kg",F249="L"),1000,1),0))</f>
        <v>1.24</v>
      </c>
      <c r="H249" s="25" t="str">
        <f aca="false">IF(AND($A249&lt;&gt;"",$A249='Fiche plat'!$C$3),COUNTIF($A$5:$A249,'Fiche plat'!$C$3),"")</f>
        <v/>
      </c>
      <c r="I249" s="0" t="str">
        <f aca="false">IF($A249="","",IFERROR(INDEX(Plats!$D$5:$D$48,MATCH($A249,Plats!$I$5:$I$48,0)),""))</f>
        <v>Oui</v>
      </c>
    </row>
    <row r="250" customFormat="false" ht="15" hidden="false" customHeight="false" outlineLevel="0" collapsed="false">
      <c r="A250" s="25" t="s">
        <v>163</v>
      </c>
      <c r="B250" s="25" t="s">
        <v>134</v>
      </c>
      <c r="C250" s="34" t="n">
        <v>500</v>
      </c>
      <c r="D250" s="25" t="str">
        <f aca="false">IF($B250="","",IF(F250="kg","g",IF(F250="L","ml",F250)))</f>
        <v>g</v>
      </c>
      <c r="E250" s="27" t="n">
        <f aca="false">IF($B250="","",IFERROR(INDEX('Liste des ingrédients'!$H$5:$H$98,MATCH($B250,'Liste des ingrédients'!$B$5:$B$98,0)),0))</f>
        <v>14.9</v>
      </c>
      <c r="F250" s="25" t="str">
        <f aca="false">IF($B250="","",IFERROR(INDEX('Liste des ingrédients'!$G$5:$G$98,MATCH($B250,'Liste des ingrédients'!$B$5:$B$98,0)),"?"))</f>
        <v>kg</v>
      </c>
      <c r="G250" s="27" t="n">
        <f aca="false">IF(OR($B250="",$C250=""),0,IFERROR($C250*E250/IF(OR(F250="kg",F250="L"),1000,1),0))</f>
        <v>7.45</v>
      </c>
      <c r="H250" s="25" t="str">
        <f aca="false">IF(AND($A250&lt;&gt;"",$A250='Fiche plat'!$C$3),COUNTIF($A$5:$A250,'Fiche plat'!$C$3),"")</f>
        <v/>
      </c>
      <c r="I250" s="0" t="str">
        <f aca="false">IF($A250="","",IFERROR(INDEX(Plats!$D$5:$D$48,MATCH($A250,Plats!$I$5:$I$48,0)),""))</f>
        <v>Oui</v>
      </c>
    </row>
    <row r="251" customFormat="false" ht="15" hidden="false" customHeight="false" outlineLevel="0" collapsed="false">
      <c r="A251" s="25" t="s">
        <v>163</v>
      </c>
      <c r="B251" s="25" t="s">
        <v>93</v>
      </c>
      <c r="C251" s="34" t="n">
        <v>100</v>
      </c>
      <c r="D251" s="25" t="str">
        <f aca="false">IF($B251="","",IF(F251="kg","g",IF(F251="L","ml",F251)))</f>
        <v>g</v>
      </c>
      <c r="E251" s="27" t="n">
        <f aca="false">IF($B251="","",IFERROR(INDEX('Liste des ingrédients'!$H$5:$H$98,MATCH($B251,'Liste des ingrédients'!$B$5:$B$98,0)),0))</f>
        <v>1.2</v>
      </c>
      <c r="F251" s="25" t="str">
        <f aca="false">IF($B251="","",IFERROR(INDEX('Liste des ingrédients'!$G$5:$G$98,MATCH($B251,'Liste des ingrédients'!$B$5:$B$98,0)),"?"))</f>
        <v>kg</v>
      </c>
      <c r="G251" s="27" t="n">
        <f aca="false">IF(OR($B251="",$C251=""),0,IFERROR($C251*E251/IF(OR(F251="kg",F251="L"),1000,1),0))</f>
        <v>0.12</v>
      </c>
      <c r="H251" s="25" t="str">
        <f aca="false">IF(AND($A251&lt;&gt;"",$A251='Fiche plat'!$C$3),COUNTIF($A$5:$A251,'Fiche plat'!$C$3),"")</f>
        <v/>
      </c>
      <c r="I251" s="0" t="str">
        <f aca="false">IF($A251="","",IFERROR(INDEX(Plats!$D$5:$D$48,MATCH($A251,Plats!$I$5:$I$48,0)),""))</f>
        <v>Oui</v>
      </c>
    </row>
    <row r="252" customFormat="false" ht="15" hidden="false" customHeight="false" outlineLevel="0" collapsed="false">
      <c r="A252" s="25" t="s">
        <v>163</v>
      </c>
      <c r="B252" s="25" t="s">
        <v>97</v>
      </c>
      <c r="C252" s="34" t="n">
        <v>20</v>
      </c>
      <c r="D252" s="25" t="str">
        <f aca="false">IF($B252="","",IF(F252="kg","g",IF(F252="L","ml",F252)))</f>
        <v>g</v>
      </c>
      <c r="E252" s="27" t="n">
        <f aca="false">IF($B252="","",IFERROR(INDEX('Liste des ingrédients'!$H$5:$H$98,MATCH($B252,'Liste des ingrédients'!$B$5:$B$98,0)),0))</f>
        <v>15</v>
      </c>
      <c r="F252" s="25" t="str">
        <f aca="false">IF($B252="","",IFERROR(INDEX('Liste des ingrédients'!$G$5:$G$98,MATCH($B252,'Liste des ingrédients'!$B$5:$B$98,0)),"?"))</f>
        <v>kg</v>
      </c>
      <c r="G252" s="27" t="n">
        <f aca="false">IF(OR($B252="",$C252=""),0,IFERROR($C252*E252/IF(OR(F252="kg",F252="L"),1000,1),0))</f>
        <v>0.3</v>
      </c>
      <c r="H252" s="25" t="str">
        <f aca="false">IF(AND($A252&lt;&gt;"",$A252='Fiche plat'!$C$3),COUNTIF($A$5:$A252,'Fiche plat'!$C$3),"")</f>
        <v/>
      </c>
      <c r="I252" s="0" t="str">
        <f aca="false">IF($A252="","",IFERROR(INDEX(Plats!$D$5:$D$48,MATCH($A252,Plats!$I$5:$I$48,0)),""))</f>
        <v>Oui</v>
      </c>
    </row>
    <row r="253" customFormat="false" ht="15" hidden="false" customHeight="false" outlineLevel="0" collapsed="false">
      <c r="A253" s="25" t="s">
        <v>163</v>
      </c>
      <c r="B253" s="25" t="s">
        <v>94</v>
      </c>
      <c r="C253" s="34" t="n">
        <v>60</v>
      </c>
      <c r="D253" s="25" t="str">
        <f aca="false">IF($B253="","",IF(F253="kg","g",IF(F253="L","ml",F253)))</f>
        <v>g</v>
      </c>
      <c r="E253" s="27" t="n">
        <f aca="false">IF($B253="","",IFERROR(INDEX('Liste des ingrédients'!$H$5:$H$98,MATCH($B253,'Liste des ingrédients'!$B$5:$B$98,0)),0))</f>
        <v>2.5</v>
      </c>
      <c r="F253" s="25" t="str">
        <f aca="false">IF($B253="","",IFERROR(INDEX('Liste des ingrédients'!$G$5:$G$98,MATCH($B253,'Liste des ingrédients'!$B$5:$B$98,0)),"?"))</f>
        <v>kg</v>
      </c>
      <c r="G253" s="27" t="n">
        <f aca="false">IF(OR($B253="",$C253=""),0,IFERROR($C253*E253/IF(OR(F253="kg",F253="L"),1000,1),0))</f>
        <v>0.15</v>
      </c>
      <c r="H253" s="25" t="str">
        <f aca="false">IF(AND($A253&lt;&gt;"",$A253='Fiche plat'!$C$3),COUNTIF($A$5:$A253,'Fiche plat'!$C$3),"")</f>
        <v/>
      </c>
      <c r="I253" s="0" t="str">
        <f aca="false">IF($A253="","",IFERROR(INDEX(Plats!$D$5:$D$48,MATCH($A253,Plats!$I$5:$I$48,0)),""))</f>
        <v>Oui</v>
      </c>
    </row>
    <row r="254" customFormat="false" ht="15" hidden="false" customHeight="false" outlineLevel="0" collapsed="false">
      <c r="A254" s="25" t="s">
        <v>163</v>
      </c>
      <c r="B254" s="25" t="s">
        <v>95</v>
      </c>
      <c r="C254" s="34" t="n">
        <v>60</v>
      </c>
      <c r="D254" s="25" t="str">
        <f aca="false">IF($B254="","",IF(F254="kg","g",IF(F254="L","ml",F254)))</f>
        <v>g</v>
      </c>
      <c r="E254" s="27" t="n">
        <f aca="false">IF($B254="","",IFERROR(INDEX('Liste des ingrédients'!$H$5:$H$98,MATCH($B254,'Liste des ingrédients'!$B$5:$B$98,0)),0))</f>
        <v>9</v>
      </c>
      <c r="F254" s="25" t="str">
        <f aca="false">IF($B254="","",IFERROR(INDEX('Liste des ingrédients'!$G$5:$G$98,MATCH($B254,'Liste des ingrédients'!$B$5:$B$98,0)),"?"))</f>
        <v>kg</v>
      </c>
      <c r="G254" s="27" t="n">
        <f aca="false">IF(OR($B254="",$C254=""),0,IFERROR($C254*E254/IF(OR(F254="kg",F254="L"),1000,1),0))</f>
        <v>0.54</v>
      </c>
      <c r="H254" s="25" t="str">
        <f aca="false">IF(AND($A254&lt;&gt;"",$A254='Fiche plat'!$C$3),COUNTIF($A$5:$A254,'Fiche plat'!$C$3),"")</f>
        <v/>
      </c>
      <c r="I254" s="0" t="str">
        <f aca="false">IF($A254="","",IFERROR(INDEX(Plats!$D$5:$D$48,MATCH($A254,Plats!$I$5:$I$48,0)),""))</f>
        <v>Oui</v>
      </c>
    </row>
    <row r="255" customFormat="false" ht="15" hidden="false" customHeight="false" outlineLevel="0" collapsed="false">
      <c r="A255" s="25" t="s">
        <v>163</v>
      </c>
      <c r="B255" s="25" t="s">
        <v>96</v>
      </c>
      <c r="C255" s="34" t="n">
        <v>15</v>
      </c>
      <c r="D255" s="25" t="str">
        <f aca="false">IF($B255="","",IF(F255="kg","g",IF(F255="L","ml",F255)))</f>
        <v>g</v>
      </c>
      <c r="E255" s="27" t="n">
        <f aca="false">IF($B255="","",IFERROR(INDEX('Liste des ingrédients'!$H$5:$H$98,MATCH($B255,'Liste des ingrédients'!$B$5:$B$98,0)),0))</f>
        <v>11</v>
      </c>
      <c r="F255" s="25" t="str">
        <f aca="false">IF($B255="","",IFERROR(INDEX('Liste des ingrédients'!$G$5:$G$98,MATCH($B255,'Liste des ingrédients'!$B$5:$B$98,0)),"?"))</f>
        <v>kg</v>
      </c>
      <c r="G255" s="27" t="n">
        <f aca="false">IF(OR($B255="",$C255=""),0,IFERROR($C255*E255/IF(OR(F255="kg",F255="L"),1000,1),0))</f>
        <v>0.165</v>
      </c>
      <c r="H255" s="25" t="str">
        <f aca="false">IF(AND($A255&lt;&gt;"",$A255='Fiche plat'!$C$3),COUNTIF($A$5:$A255,'Fiche plat'!$C$3),"")</f>
        <v/>
      </c>
      <c r="I255" s="0" t="str">
        <f aca="false">IF($A255="","",IFERROR(INDEX(Plats!$D$5:$D$48,MATCH($A255,Plats!$I$5:$I$48,0)),""))</f>
        <v>Oui</v>
      </c>
    </row>
    <row r="256" customFormat="false" ht="15" hidden="false" customHeight="false" outlineLevel="0" collapsed="false">
      <c r="A256" s="25" t="s">
        <v>163</v>
      </c>
      <c r="B256" s="25" t="s">
        <v>117</v>
      </c>
      <c r="C256" s="34" t="n">
        <v>2.5</v>
      </c>
      <c r="D256" s="25" t="str">
        <f aca="false">IF($B256="","",IF(F256="kg","g",IF(F256="L","ml",F256)))</f>
        <v>g</v>
      </c>
      <c r="E256" s="27" t="n">
        <f aca="false">IF($B256="","",IFERROR(INDEX('Liste des ingrédients'!$H$5:$H$98,MATCH($B256,'Liste des ingrédients'!$B$5:$B$98,0)),0))</f>
        <v>33</v>
      </c>
      <c r="F256" s="25" t="str">
        <f aca="false">IF($B256="","",IFERROR(INDEX('Liste des ingrédients'!$G$5:$G$98,MATCH($B256,'Liste des ingrédients'!$B$5:$B$98,0)),"?"))</f>
        <v>kg</v>
      </c>
      <c r="G256" s="27" t="n">
        <f aca="false">IF(OR($B256="",$C256=""),0,IFERROR($C256*E256/IF(OR(F256="kg",F256="L"),1000,1),0))</f>
        <v>0.0825</v>
      </c>
      <c r="H256" s="25" t="str">
        <f aca="false">IF(AND($A256&lt;&gt;"",$A256='Fiche plat'!$C$3),COUNTIF($A$5:$A256,'Fiche plat'!$C$3),"")</f>
        <v/>
      </c>
      <c r="I256" s="0" t="str">
        <f aca="false">IF($A256="","",IFERROR(INDEX(Plats!$D$5:$D$48,MATCH($A256,Plats!$I$5:$I$48,0)),""))</f>
        <v>Oui</v>
      </c>
    </row>
    <row r="257" customFormat="false" ht="15" hidden="false" customHeight="false" outlineLevel="0" collapsed="false">
      <c r="A257" s="25" t="s">
        <v>163</v>
      </c>
      <c r="B257" s="25" t="s">
        <v>124</v>
      </c>
      <c r="C257" s="34" t="n">
        <v>2.5</v>
      </c>
      <c r="D257" s="25" t="str">
        <f aca="false">IF($B257="","",IF(F257="kg","g",IF(F257="L","ml",F257)))</f>
        <v>g</v>
      </c>
      <c r="E257" s="27" t="n">
        <f aca="false">IF($B257="","",IFERROR(INDEX('Liste des ingrédients'!$H$5:$H$98,MATCH($B257,'Liste des ingrédients'!$B$5:$B$98,0)),0))</f>
        <v>40</v>
      </c>
      <c r="F257" s="25" t="str">
        <f aca="false">IF($B257="","",IFERROR(INDEX('Liste des ingrédients'!$G$5:$G$98,MATCH($B257,'Liste des ingrédients'!$B$5:$B$98,0)),"?"))</f>
        <v>kg</v>
      </c>
      <c r="G257" s="27" t="n">
        <f aca="false">IF(OR($B257="",$C257=""),0,IFERROR($C257*E257/IF(OR(F257="kg",F257="L"),1000,1),0))</f>
        <v>0.1</v>
      </c>
      <c r="H257" s="25" t="str">
        <f aca="false">IF(AND($A257&lt;&gt;"",$A257='Fiche plat'!$C$3),COUNTIF($A$5:$A257,'Fiche plat'!$C$3),"")</f>
        <v/>
      </c>
      <c r="I257" s="0" t="str">
        <f aca="false">IF($A257="","",IFERROR(INDEX(Plats!$D$5:$D$48,MATCH($A257,Plats!$I$5:$I$48,0)),""))</f>
        <v>Oui</v>
      </c>
    </row>
    <row r="258" customFormat="false" ht="15" hidden="false" customHeight="false" outlineLevel="0" collapsed="false">
      <c r="A258" s="25" t="s">
        <v>163</v>
      </c>
      <c r="B258" s="25" t="s">
        <v>101</v>
      </c>
      <c r="C258" s="34" t="n">
        <v>90</v>
      </c>
      <c r="D258" s="25" t="str">
        <f aca="false">IF($B258="","",IF(F258="kg","g",IF(F258="L","ml",F258)))</f>
        <v>ml</v>
      </c>
      <c r="E258" s="27" t="n">
        <f aca="false">IF($B258="","",IFERROR(INDEX('Liste des ingrédients'!$H$5:$H$98,MATCH($B258,'Liste des ingrédients'!$B$5:$B$98,0)),0))</f>
        <v>12.5</v>
      </c>
      <c r="F258" s="25" t="str">
        <f aca="false">IF($B258="","",IFERROR(INDEX('Liste des ingrédients'!$G$5:$G$98,MATCH($B258,'Liste des ingrédients'!$B$5:$B$98,0)),"?"))</f>
        <v>L</v>
      </c>
      <c r="G258" s="27" t="n">
        <f aca="false">IF(OR($B258="",$C258=""),0,IFERROR($C258*E258/IF(OR(F258="kg",F258="L"),1000,1),0))</f>
        <v>1.125</v>
      </c>
      <c r="H258" s="25" t="str">
        <f aca="false">IF(AND($A258&lt;&gt;"",$A258='Fiche plat'!$C$3),COUNTIF($A$5:$A258,'Fiche plat'!$C$3),"")</f>
        <v/>
      </c>
      <c r="I258" s="0" t="str">
        <f aca="false">IF($A258="","",IFERROR(INDEX(Plats!$D$5:$D$48,MATCH($A258,Plats!$I$5:$I$48,0)),""))</f>
        <v>Oui</v>
      </c>
    </row>
    <row r="259" customFormat="false" ht="15" hidden="false" customHeight="false" outlineLevel="0" collapsed="false">
      <c r="A259" s="25" t="s">
        <v>163</v>
      </c>
      <c r="B259" s="25" t="s">
        <v>102</v>
      </c>
      <c r="C259" s="34" t="n">
        <v>9</v>
      </c>
      <c r="D259" s="25" t="str">
        <f aca="false">IF($B259="","",IF(F259="kg","g",IF(F259="L","ml",F259)))</f>
        <v>g</v>
      </c>
      <c r="E259" s="27" t="n">
        <f aca="false">IF($B259="","",IFERROR(INDEX('Liste des ingrédients'!$H$5:$H$98,MATCH($B259,'Liste des ingrédients'!$B$5:$B$98,0)),0))</f>
        <v>0.8</v>
      </c>
      <c r="F259" s="25" t="str">
        <f aca="false">IF($B259="","",IFERROR(INDEX('Liste des ingrédients'!$G$5:$G$98,MATCH($B259,'Liste des ingrédients'!$B$5:$B$98,0)),"?"))</f>
        <v>kg</v>
      </c>
      <c r="G259" s="27" t="n">
        <f aca="false">IF(OR($B259="",$C259=""),0,IFERROR($C259*E259/IF(OR(F259="kg",F259="L"),1000,1),0))</f>
        <v>0.0072</v>
      </c>
      <c r="H259" s="25" t="str">
        <f aca="false">IF(AND($A259&lt;&gt;"",$A259='Fiche plat'!$C$3),COUNTIF($A$5:$A259,'Fiche plat'!$C$3),"")</f>
        <v/>
      </c>
      <c r="I259" s="0" t="str">
        <f aca="false">IF($A259="","",IFERROR(INDEX(Plats!$D$5:$D$48,MATCH($A259,Plats!$I$5:$I$48,0)),""))</f>
        <v>Oui</v>
      </c>
    </row>
    <row r="260" customFormat="false" ht="15" hidden="false" customHeight="false" outlineLevel="0" collapsed="false">
      <c r="A260" s="25" t="s">
        <v>163</v>
      </c>
      <c r="B260" s="25" t="s">
        <v>103</v>
      </c>
      <c r="C260" s="34" t="n">
        <v>1</v>
      </c>
      <c r="D260" s="25" t="str">
        <f aca="false">IF($B260="","",IF(F260="kg","g",IF(F260="L","ml",F260)))</f>
        <v>g</v>
      </c>
      <c r="E260" s="27" t="n">
        <f aca="false">IF($B260="","",IFERROR(INDEX('Liste des ingrédients'!$H$5:$H$98,MATCH($B260,'Liste des ingrédients'!$B$5:$B$98,0)),0))</f>
        <v>50</v>
      </c>
      <c r="F260" s="25" t="str">
        <f aca="false">IF($B260="","",IFERROR(INDEX('Liste des ingrédients'!$G$5:$G$98,MATCH($B260,'Liste des ingrédients'!$B$5:$B$98,0)),"?"))</f>
        <v>kg</v>
      </c>
      <c r="G260" s="27" t="n">
        <f aca="false">IF(OR($B260="",$C260=""),0,IFERROR($C260*E260/IF(OR(F260="kg",F260="L"),1000,1),0))</f>
        <v>0.05</v>
      </c>
      <c r="H260" s="25" t="str">
        <f aca="false">IF(AND($A260&lt;&gt;"",$A260='Fiche plat'!$C$3),COUNTIF($A$5:$A260,'Fiche plat'!$C$3),"")</f>
        <v/>
      </c>
      <c r="I260" s="0" t="str">
        <f aca="false">IF($A260="","",IFERROR(INDEX(Plats!$D$5:$D$48,MATCH($A260,Plats!$I$5:$I$48,0)),""))</f>
        <v>Oui</v>
      </c>
    </row>
    <row r="261" customFormat="false" ht="15" hidden="false" customHeight="false" outlineLevel="0" collapsed="false">
      <c r="A261" s="22" t="s">
        <v>164</v>
      </c>
      <c r="B261" s="22" t="s">
        <v>154</v>
      </c>
      <c r="C261" s="35" t="n">
        <v>600</v>
      </c>
      <c r="D261" s="22" t="str">
        <f aca="false">IF($B261="","",IF(F261="kg","g",IF(F261="L","ml",F261)))</f>
        <v>g</v>
      </c>
      <c r="E261" s="24" t="n">
        <f aca="false">IF($B261="","",IFERROR(INDEX('Liste des ingrédients'!$H$5:$H$98,MATCH($B261,'Liste des ingrédients'!$B$5:$B$98,0)),0))</f>
        <v>19.4</v>
      </c>
      <c r="F261" s="22" t="str">
        <f aca="false">IF($B261="","",IFERROR(INDEX('Liste des ingrédients'!$G$5:$G$98,MATCH($B261,'Liste des ingrédients'!$B$5:$B$98,0)),"?"))</f>
        <v>kg</v>
      </c>
      <c r="G261" s="24" t="n">
        <f aca="false">IF(OR($B261="",$C261=""),0,IFERROR($C261*E261/IF(OR(F261="kg",F261="L"),1000,1),0))</f>
        <v>11.64</v>
      </c>
      <c r="H261" s="22" t="str">
        <f aca="false">IF(AND($A261&lt;&gt;"",$A261='Fiche plat'!$C$3),COUNTIF($A$5:$A261,'Fiche plat'!$C$3),"")</f>
        <v/>
      </c>
      <c r="I261" s="0" t="str">
        <f aca="false">IF($A261="","",IFERROR(INDEX(Plats!$D$5:$D$48,MATCH($A261,Plats!$I$5:$I$48,0)),""))</f>
        <v>Oui</v>
      </c>
    </row>
    <row r="262" customFormat="false" ht="15" hidden="false" customHeight="false" outlineLevel="0" collapsed="false">
      <c r="A262" s="22" t="s">
        <v>164</v>
      </c>
      <c r="B262" s="22" t="s">
        <v>101</v>
      </c>
      <c r="C262" s="35" t="n">
        <v>75</v>
      </c>
      <c r="D262" s="22" t="str">
        <f aca="false">IF($B262="","",IF(F262="kg","g",IF(F262="L","ml",F262)))</f>
        <v>ml</v>
      </c>
      <c r="E262" s="24" t="n">
        <f aca="false">IF($B262="","",IFERROR(INDEX('Liste des ingrédients'!$H$5:$H$98,MATCH($B262,'Liste des ingrédients'!$B$5:$B$98,0)),0))</f>
        <v>12.5</v>
      </c>
      <c r="F262" s="22" t="str">
        <f aca="false">IF($B262="","",IFERROR(INDEX('Liste des ingrédients'!$G$5:$G$98,MATCH($B262,'Liste des ingrédients'!$B$5:$B$98,0)),"?"))</f>
        <v>L</v>
      </c>
      <c r="G262" s="24" t="n">
        <f aca="false">IF(OR($B262="",$C262=""),0,IFERROR($C262*E262/IF(OR(F262="kg",F262="L"),1000,1),0))</f>
        <v>0.9375</v>
      </c>
      <c r="H262" s="22" t="str">
        <f aca="false">IF(AND($A262&lt;&gt;"",$A262='Fiche plat'!$C$3),COUNTIF($A$5:$A262,'Fiche plat'!$C$3),"")</f>
        <v/>
      </c>
      <c r="I262" s="0" t="str">
        <f aca="false">IF($A262="","",IFERROR(INDEX(Plats!$D$5:$D$48,MATCH($A262,Plats!$I$5:$I$48,0)),""))</f>
        <v>Oui</v>
      </c>
    </row>
    <row r="263" customFormat="false" ht="15" hidden="false" customHeight="false" outlineLevel="0" collapsed="false">
      <c r="A263" s="22" t="s">
        <v>164</v>
      </c>
      <c r="B263" s="22" t="s">
        <v>104</v>
      </c>
      <c r="C263" s="35" t="n">
        <v>150</v>
      </c>
      <c r="D263" s="22" t="str">
        <f aca="false">IF($B263="","",IF(F263="kg","g",IF(F263="L","ml",F263)))</f>
        <v>g</v>
      </c>
      <c r="E263" s="24" t="n">
        <f aca="false">IF($B263="","",IFERROR(INDEX('Liste des ingrédients'!$H$5:$H$98,MATCH($B263,'Liste des ingrédients'!$B$5:$B$98,0)),0))</f>
        <v>3</v>
      </c>
      <c r="F263" s="22" t="str">
        <f aca="false">IF($B263="","",IFERROR(INDEX('Liste des ingrédients'!$G$5:$G$98,MATCH($B263,'Liste des ingrédients'!$B$5:$B$98,0)),"?"))</f>
        <v>kg</v>
      </c>
      <c r="G263" s="24" t="n">
        <f aca="false">IF(OR($B263="",$C263=""),0,IFERROR($C263*E263/IF(OR(F263="kg",F263="L"),1000,1),0))</f>
        <v>0.45</v>
      </c>
      <c r="H263" s="22" t="str">
        <f aca="false">IF(AND($A263&lt;&gt;"",$A263='Fiche plat'!$C$3),COUNTIF($A$5:$A263,'Fiche plat'!$C$3),"")</f>
        <v/>
      </c>
      <c r="I263" s="0" t="str">
        <f aca="false">IF($A263="","",IFERROR(INDEX(Plats!$D$5:$D$48,MATCH($A263,Plats!$I$5:$I$48,0)),""))</f>
        <v>Oui</v>
      </c>
    </row>
    <row r="264" customFormat="false" ht="15" hidden="false" customHeight="false" outlineLevel="0" collapsed="false">
      <c r="A264" s="22" t="s">
        <v>164</v>
      </c>
      <c r="B264" s="22" t="s">
        <v>97</v>
      </c>
      <c r="C264" s="35" t="n">
        <v>10</v>
      </c>
      <c r="D264" s="22" t="str">
        <f aca="false">IF($B264="","",IF(F264="kg","g",IF(F264="L","ml",F264)))</f>
        <v>g</v>
      </c>
      <c r="E264" s="24" t="n">
        <f aca="false">IF($B264="","",IFERROR(INDEX('Liste des ingrédients'!$H$5:$H$98,MATCH($B264,'Liste des ingrédients'!$B$5:$B$98,0)),0))</f>
        <v>15</v>
      </c>
      <c r="F264" s="22" t="str">
        <f aca="false">IF($B264="","",IFERROR(INDEX('Liste des ingrédients'!$G$5:$G$98,MATCH($B264,'Liste des ingrédients'!$B$5:$B$98,0)),"?"))</f>
        <v>kg</v>
      </c>
      <c r="G264" s="24" t="n">
        <f aca="false">IF(OR($B264="",$C264=""),0,IFERROR($C264*E264/IF(OR(F264="kg",F264="L"),1000,1),0))</f>
        <v>0.15</v>
      </c>
      <c r="H264" s="22" t="str">
        <f aca="false">IF(AND($A264&lt;&gt;"",$A264='Fiche plat'!$C$3),COUNTIF($A$5:$A264,'Fiche plat'!$C$3),"")</f>
        <v/>
      </c>
      <c r="I264" s="0" t="str">
        <f aca="false">IF($A264="","",IFERROR(INDEX(Plats!$D$5:$D$48,MATCH($A264,Plats!$I$5:$I$48,0)),""))</f>
        <v>Oui</v>
      </c>
    </row>
    <row r="265" customFormat="false" ht="15" hidden="false" customHeight="false" outlineLevel="0" collapsed="false">
      <c r="A265" s="22" t="s">
        <v>164</v>
      </c>
      <c r="B265" s="22" t="s">
        <v>117</v>
      </c>
      <c r="C265" s="35" t="n">
        <v>1.5</v>
      </c>
      <c r="D265" s="22" t="str">
        <f aca="false">IF($B265="","",IF(F265="kg","g",IF(F265="L","ml",F265)))</f>
        <v>g</v>
      </c>
      <c r="E265" s="24" t="n">
        <f aca="false">IF($B265="","",IFERROR(INDEX('Liste des ingrédients'!$H$5:$H$98,MATCH($B265,'Liste des ingrédients'!$B$5:$B$98,0)),0))</f>
        <v>33</v>
      </c>
      <c r="F265" s="22" t="str">
        <f aca="false">IF($B265="","",IFERROR(INDEX('Liste des ingrédients'!$G$5:$G$98,MATCH($B265,'Liste des ingrédients'!$B$5:$B$98,0)),"?"))</f>
        <v>kg</v>
      </c>
      <c r="G265" s="24" t="n">
        <f aca="false">IF(OR($B265="",$C265=""),0,IFERROR($C265*E265/IF(OR(F265="kg",F265="L"),1000,1),0))</f>
        <v>0.0495</v>
      </c>
      <c r="H265" s="22" t="str">
        <f aca="false">IF(AND($A265&lt;&gt;"",$A265='Fiche plat'!$C$3),COUNTIF($A$5:$A265,'Fiche plat'!$C$3),"")</f>
        <v/>
      </c>
      <c r="I265" s="0" t="str">
        <f aca="false">IF($A265="","",IFERROR(INDEX(Plats!$D$5:$D$48,MATCH($A265,Plats!$I$5:$I$48,0)),""))</f>
        <v>Oui</v>
      </c>
    </row>
    <row r="266" customFormat="false" ht="15" hidden="false" customHeight="false" outlineLevel="0" collapsed="false">
      <c r="A266" s="22" t="s">
        <v>164</v>
      </c>
      <c r="B266" s="22" t="s">
        <v>102</v>
      </c>
      <c r="C266" s="35" t="n">
        <v>9</v>
      </c>
      <c r="D266" s="22" t="str">
        <f aca="false">IF($B266="","",IF(F266="kg","g",IF(F266="L","ml",F266)))</f>
        <v>g</v>
      </c>
      <c r="E266" s="24" t="n">
        <f aca="false">IF($B266="","",IFERROR(INDEX('Liste des ingrédients'!$H$5:$H$98,MATCH($B266,'Liste des ingrédients'!$B$5:$B$98,0)),0))</f>
        <v>0.8</v>
      </c>
      <c r="F266" s="22" t="str">
        <f aca="false">IF($B266="","",IFERROR(INDEX('Liste des ingrédients'!$G$5:$G$98,MATCH($B266,'Liste des ingrédients'!$B$5:$B$98,0)),"?"))</f>
        <v>kg</v>
      </c>
      <c r="G266" s="24" t="n">
        <f aca="false">IF(OR($B266="",$C266=""),0,IFERROR($C266*E266/IF(OR(F266="kg",F266="L"),1000,1),0))</f>
        <v>0.0072</v>
      </c>
      <c r="H266" s="22" t="str">
        <f aca="false">IF(AND($A266&lt;&gt;"",$A266='Fiche plat'!$C$3),COUNTIF($A$5:$A266,'Fiche plat'!$C$3),"")</f>
        <v/>
      </c>
      <c r="I266" s="0" t="str">
        <f aca="false">IF($A266="","",IFERROR(INDEX(Plats!$D$5:$D$48,MATCH($A266,Plats!$I$5:$I$48,0)),""))</f>
        <v>Oui</v>
      </c>
    </row>
    <row r="267" customFormat="false" ht="15" hidden="false" customHeight="false" outlineLevel="0" collapsed="false">
      <c r="A267" s="22" t="s">
        <v>164</v>
      </c>
      <c r="B267" s="22" t="s">
        <v>103</v>
      </c>
      <c r="C267" s="35" t="n">
        <v>1</v>
      </c>
      <c r="D267" s="22" t="str">
        <f aca="false">IF($B267="","",IF(F267="kg","g",IF(F267="L","ml",F267)))</f>
        <v>g</v>
      </c>
      <c r="E267" s="24" t="n">
        <f aca="false">IF($B267="","",IFERROR(INDEX('Liste des ingrédients'!$H$5:$H$98,MATCH($B267,'Liste des ingrédients'!$B$5:$B$98,0)),0))</f>
        <v>50</v>
      </c>
      <c r="F267" s="22" t="str">
        <f aca="false">IF($B267="","",IFERROR(INDEX('Liste des ingrédients'!$G$5:$G$98,MATCH($B267,'Liste des ingrédients'!$B$5:$B$98,0)),"?"))</f>
        <v>kg</v>
      </c>
      <c r="G267" s="24" t="n">
        <f aca="false">IF(OR($B267="",$C267=""),0,IFERROR($C267*E267/IF(OR(F267="kg",F267="L"),1000,1),0))</f>
        <v>0.05</v>
      </c>
      <c r="H267" s="22" t="str">
        <f aca="false">IF(AND($A267&lt;&gt;"",$A267='Fiche plat'!$C$3),COUNTIF($A$5:$A267,'Fiche plat'!$C$3),"")</f>
        <v/>
      </c>
      <c r="I267" s="0" t="str">
        <f aca="false">IF($A267="","",IFERROR(INDEX(Plats!$D$5:$D$48,MATCH($A267,Plats!$I$5:$I$48,0)),""))</f>
        <v>Oui</v>
      </c>
    </row>
    <row r="268" customFormat="false" ht="15" hidden="false" customHeight="false" outlineLevel="0" collapsed="false">
      <c r="A268" s="22" t="s">
        <v>164</v>
      </c>
      <c r="B268" s="22" t="s">
        <v>138</v>
      </c>
      <c r="C268" s="35" t="n">
        <v>1</v>
      </c>
      <c r="D268" s="22" t="str">
        <f aca="false">IF($B268="","",IF(F268="kg","g",IF(F268="L","ml",F268)))</f>
        <v>pièce</v>
      </c>
      <c r="E268" s="24" t="n">
        <f aca="false">IF($B268="","",IFERROR(INDEX('Liste des ingrédients'!$H$5:$H$98,MATCH($B268,'Liste des ingrédients'!$B$5:$B$98,0)),0))</f>
        <v>1</v>
      </c>
      <c r="F268" s="22" t="str">
        <f aca="false">IF($B268="","",IFERROR(INDEX('Liste des ingrédients'!$G$5:$G$98,MATCH($B268,'Liste des ingrédients'!$B$5:$B$98,0)),"?"))</f>
        <v>pièce</v>
      </c>
      <c r="G268" s="24" t="n">
        <f aca="false">IF(OR($B268="",$C268=""),0,IFERROR($C268*E268/IF(OR(F268="kg",F268="L"),1000,1),0))</f>
        <v>1</v>
      </c>
      <c r="H268" s="22" t="str">
        <f aca="false">IF(AND($A268&lt;&gt;"",$A268='Fiche plat'!$C$3),COUNTIF($A$5:$A268,'Fiche plat'!$C$3),"")</f>
        <v/>
      </c>
      <c r="I268" s="0" t="str">
        <f aca="false">IF($A268="","",IFERROR(INDEX(Plats!$D$5:$D$48,MATCH($A268,Plats!$I$5:$I$48,0)),""))</f>
        <v>Oui</v>
      </c>
    </row>
    <row r="269" customFormat="false" ht="15" hidden="false" customHeight="false" outlineLevel="0" collapsed="false">
      <c r="A269" s="22" t="s">
        <v>164</v>
      </c>
      <c r="B269" s="22" t="s">
        <v>108</v>
      </c>
      <c r="C269" s="35" t="n">
        <v>250</v>
      </c>
      <c r="D269" s="22" t="str">
        <f aca="false">IF($B269="","",IF(F269="kg","g",IF(F269="L","ml",F269)))</f>
        <v>g</v>
      </c>
      <c r="E269" s="24" t="n">
        <f aca="false">IF($B269="","",IFERROR(INDEX('Liste des ingrédients'!$H$5:$H$98,MATCH($B269,'Liste des ingrédients'!$B$5:$B$98,0)),0))</f>
        <v>2</v>
      </c>
      <c r="F269" s="22" t="str">
        <f aca="false">IF($B269="","",IFERROR(INDEX('Liste des ingrédients'!$G$5:$G$98,MATCH($B269,'Liste des ingrédients'!$B$5:$B$98,0)),"?"))</f>
        <v>kg</v>
      </c>
      <c r="G269" s="24" t="n">
        <f aca="false">IF(OR($B269="",$C269=""),0,IFERROR($C269*E269/IF(OR(F269="kg",F269="L"),1000,1),0))</f>
        <v>0.5</v>
      </c>
      <c r="H269" s="22" t="str">
        <f aca="false">IF(AND($A269&lt;&gt;"",$A269='Fiche plat'!$C$3),COUNTIF($A$5:$A269,'Fiche plat'!$C$3),"")</f>
        <v/>
      </c>
      <c r="I269" s="0" t="str">
        <f aca="false">IF($A269="","",IFERROR(INDEX(Plats!$D$5:$D$48,MATCH($A269,Plats!$I$5:$I$48,0)),""))</f>
        <v>Oui</v>
      </c>
    </row>
    <row r="270" customFormat="false" ht="15" hidden="false" customHeight="false" outlineLevel="0" collapsed="false">
      <c r="A270" s="22" t="s">
        <v>164</v>
      </c>
      <c r="B270" s="22" t="s">
        <v>139</v>
      </c>
      <c r="C270" s="35" t="n">
        <v>200</v>
      </c>
      <c r="D270" s="22" t="str">
        <f aca="false">IF($B270="","",IF(F270="kg","g",IF(F270="L","ml",F270)))</f>
        <v>g</v>
      </c>
      <c r="E270" s="24" t="n">
        <f aca="false">IF($B270="","",IFERROR(INDEX('Liste des ingrédients'!$H$5:$H$98,MATCH($B270,'Liste des ingrédients'!$B$5:$B$98,0)),0))</f>
        <v>2.5</v>
      </c>
      <c r="F270" s="22" t="str">
        <f aca="false">IF($B270="","",IFERROR(INDEX('Liste des ingrédients'!$G$5:$G$98,MATCH($B270,'Liste des ingrédients'!$B$5:$B$98,0)),"?"))</f>
        <v>kg</v>
      </c>
      <c r="G270" s="24" t="n">
        <f aca="false">IF(OR($B270="",$C270=""),0,IFERROR($C270*E270/IF(OR(F270="kg",F270="L"),1000,1),0))</f>
        <v>0.5</v>
      </c>
      <c r="H270" s="22" t="str">
        <f aca="false">IF(AND($A270&lt;&gt;"",$A270='Fiche plat'!$C$3),COUNTIF($A$5:$A270,'Fiche plat'!$C$3),"")</f>
        <v/>
      </c>
      <c r="I270" s="0" t="str">
        <f aca="false">IF($A270="","",IFERROR(INDEX(Plats!$D$5:$D$48,MATCH($A270,Plats!$I$5:$I$48,0)),""))</f>
        <v>Oui</v>
      </c>
    </row>
    <row r="271" customFormat="false" ht="15" hidden="false" customHeight="false" outlineLevel="0" collapsed="false">
      <c r="A271" s="22" t="s">
        <v>164</v>
      </c>
      <c r="B271" s="22" t="s">
        <v>93</v>
      </c>
      <c r="C271" s="35" t="n">
        <v>50</v>
      </c>
      <c r="D271" s="22" t="str">
        <f aca="false">IF($B271="","",IF(F271="kg","g",IF(F271="L","ml",F271)))</f>
        <v>g</v>
      </c>
      <c r="E271" s="24" t="n">
        <f aca="false">IF($B271="","",IFERROR(INDEX('Liste des ingrédients'!$H$5:$H$98,MATCH($B271,'Liste des ingrédients'!$B$5:$B$98,0)),0))</f>
        <v>1.2</v>
      </c>
      <c r="F271" s="22" t="str">
        <f aca="false">IF($B271="","",IFERROR(INDEX('Liste des ingrédients'!$G$5:$G$98,MATCH($B271,'Liste des ingrédients'!$B$5:$B$98,0)),"?"))</f>
        <v>kg</v>
      </c>
      <c r="G271" s="24" t="n">
        <f aca="false">IF(OR($B271="",$C271=""),0,IFERROR($C271*E271/IF(OR(F271="kg",F271="L"),1000,1),0))</f>
        <v>0.06</v>
      </c>
      <c r="H271" s="22" t="str">
        <f aca="false">IF(AND($A271&lt;&gt;"",$A271='Fiche plat'!$C$3),COUNTIF($A$5:$A271,'Fiche plat'!$C$3),"")</f>
        <v/>
      </c>
      <c r="I271" s="0" t="str">
        <f aca="false">IF($A271="","",IFERROR(INDEX(Plats!$D$5:$D$48,MATCH($A271,Plats!$I$5:$I$48,0)),""))</f>
        <v>Oui</v>
      </c>
    </row>
    <row r="272" customFormat="false" ht="15" hidden="false" customHeight="false" outlineLevel="0" collapsed="false">
      <c r="A272" s="25" t="s">
        <v>165</v>
      </c>
      <c r="B272" s="25" t="s">
        <v>88</v>
      </c>
      <c r="C272" s="34" t="n">
        <v>500</v>
      </c>
      <c r="D272" s="25" t="str">
        <f aca="false">IF($B272="","",IF(F272="kg","g",IF(F272="L","ml",F272)))</f>
        <v>g</v>
      </c>
      <c r="E272" s="27" t="n">
        <f aca="false">IF($B272="","",IFERROR(INDEX('Liste des ingrédients'!$H$5:$H$98,MATCH($B272,'Liste des ingrédients'!$B$5:$B$98,0)),0))</f>
        <v>3</v>
      </c>
      <c r="F272" s="25" t="str">
        <f aca="false">IF($B272="","",IFERROR(INDEX('Liste des ingrédients'!$G$5:$G$98,MATCH($B272,'Liste des ingrédients'!$B$5:$B$98,0)),"?"))</f>
        <v>kg</v>
      </c>
      <c r="G272" s="27" t="n">
        <f aca="false">IF(OR($B272="",$C272=""),0,IFERROR($C272*E272/IF(OR(F272="kg",F272="L"),1000,1),0))</f>
        <v>1.5</v>
      </c>
      <c r="H272" s="25" t="str">
        <f aca="false">IF(AND($A272&lt;&gt;"",$A272='Fiche plat'!$C$3),COUNTIF($A$5:$A272,'Fiche plat'!$C$3),"")</f>
        <v/>
      </c>
      <c r="I272" s="0" t="str">
        <f aca="false">IF($A272="","",IFERROR(INDEX(Plats!$D$5:$D$48,MATCH($A272,Plats!$I$5:$I$48,0)),""))</f>
        <v>Oui</v>
      </c>
    </row>
    <row r="273" customFormat="false" ht="15" hidden="false" customHeight="false" outlineLevel="0" collapsed="false">
      <c r="A273" s="25" t="s">
        <v>165</v>
      </c>
      <c r="B273" s="25" t="s">
        <v>122</v>
      </c>
      <c r="C273" s="34" t="n">
        <v>150</v>
      </c>
      <c r="D273" s="25" t="str">
        <f aca="false">IF($B273="","",IF(F273="kg","g",IF(F273="L","ml",F273)))</f>
        <v>g</v>
      </c>
      <c r="E273" s="27" t="n">
        <f aca="false">IF($B273="","",IFERROR(INDEX('Liste des ingrédients'!$H$5:$H$98,MATCH($B273,'Liste des ingrédients'!$B$5:$B$98,0)),0))</f>
        <v>6</v>
      </c>
      <c r="F273" s="25" t="str">
        <f aca="false">IF($B273="","",IFERROR(INDEX('Liste des ingrédients'!$G$5:$G$98,MATCH($B273,'Liste des ingrédients'!$B$5:$B$98,0)),"?"))</f>
        <v>kg</v>
      </c>
      <c r="G273" s="27" t="n">
        <f aca="false">IF(OR($B273="",$C273=""),0,IFERROR($C273*E273/IF(OR(F273="kg",F273="L"),1000,1),0))</f>
        <v>0.9</v>
      </c>
      <c r="H273" s="25" t="str">
        <f aca="false">IF(AND($A273&lt;&gt;"",$A273='Fiche plat'!$C$3),COUNTIF($A$5:$A273,'Fiche plat'!$C$3),"")</f>
        <v/>
      </c>
      <c r="I273" s="0" t="str">
        <f aca="false">IF($A273="","",IFERROR(INDEX(Plats!$D$5:$D$48,MATCH($A273,Plats!$I$5:$I$48,0)),""))</f>
        <v>Oui</v>
      </c>
    </row>
    <row r="274" customFormat="false" ht="15" hidden="false" customHeight="false" outlineLevel="0" collapsed="false">
      <c r="A274" s="25" t="s">
        <v>165</v>
      </c>
      <c r="B274" s="25" t="s">
        <v>121</v>
      </c>
      <c r="C274" s="34" t="n">
        <v>0</v>
      </c>
      <c r="D274" s="25" t="str">
        <f aca="false">IF($B274="","",IF(F274="kg","g",IF(F274="L","ml",F274)))</f>
        <v>g</v>
      </c>
      <c r="E274" s="27" t="n">
        <f aca="false">IF($B274="","",IFERROR(INDEX('Liste des ingrédients'!$H$5:$H$98,MATCH($B274,'Liste des ingrédients'!$B$5:$B$98,0)),0))</f>
        <v>60</v>
      </c>
      <c r="F274" s="25" t="str">
        <f aca="false">IF($B274="","",IFERROR(INDEX('Liste des ingrédients'!$G$5:$G$98,MATCH($B274,'Liste des ingrédients'!$B$5:$B$98,0)),"?"))</f>
        <v>kg</v>
      </c>
      <c r="G274" s="27" t="n">
        <f aca="false">IF(OR($B274="",$C274=""),0,IFERROR($C274*E274/IF(OR(F274="kg",F274="L"),1000,1),0))</f>
        <v>0</v>
      </c>
      <c r="H274" s="25" t="str">
        <f aca="false">IF(AND($A274&lt;&gt;"",$A274='Fiche plat'!$C$3),COUNTIF($A$5:$A274,'Fiche plat'!$C$3),"")</f>
        <v/>
      </c>
      <c r="I274" s="0" t="str">
        <f aca="false">IF($A274="","",IFERROR(INDEX(Plats!$D$5:$D$48,MATCH($A274,Plats!$I$5:$I$48,0)),""))</f>
        <v>Oui</v>
      </c>
    </row>
    <row r="275" customFormat="false" ht="15" hidden="false" customHeight="false" outlineLevel="0" collapsed="false">
      <c r="A275" s="25" t="s">
        <v>165</v>
      </c>
      <c r="B275" s="25" t="s">
        <v>90</v>
      </c>
      <c r="C275" s="34" t="n">
        <v>300</v>
      </c>
      <c r="D275" s="25" t="str">
        <f aca="false">IF($B275="","",IF(F275="kg","g",IF(F275="L","ml",F275)))</f>
        <v>g</v>
      </c>
      <c r="E275" s="27" t="n">
        <f aca="false">IF($B275="","",IFERROR(INDEX('Liste des ingrédients'!$H$5:$H$98,MATCH($B275,'Liste des ingrédients'!$B$5:$B$98,0)),0))</f>
        <v>2.5</v>
      </c>
      <c r="F275" s="25" t="str">
        <f aca="false">IF($B275="","",IFERROR(INDEX('Liste des ingrédients'!$G$5:$G$98,MATCH($B275,'Liste des ingrédients'!$B$5:$B$98,0)),"?"))</f>
        <v>kg</v>
      </c>
      <c r="G275" s="27" t="n">
        <f aca="false">IF(OR($B275="",$C275=""),0,IFERROR($C275*E275/IF(OR(F275="kg",F275="L"),1000,1),0))</f>
        <v>0.75</v>
      </c>
      <c r="H275" s="25" t="str">
        <f aca="false">IF(AND($A275&lt;&gt;"",$A275='Fiche plat'!$C$3),COUNTIF($A$5:$A275,'Fiche plat'!$C$3),"")</f>
        <v/>
      </c>
      <c r="I275" s="0" t="str">
        <f aca="false">IF($A275="","",IFERROR(INDEX(Plats!$D$5:$D$48,MATCH($A275,Plats!$I$5:$I$48,0)),""))</f>
        <v>Oui</v>
      </c>
    </row>
    <row r="276" customFormat="false" ht="15" hidden="false" customHeight="false" outlineLevel="0" collapsed="false">
      <c r="A276" s="25" t="s">
        <v>165</v>
      </c>
      <c r="B276" s="25" t="s">
        <v>91</v>
      </c>
      <c r="C276" s="34" t="n">
        <v>300</v>
      </c>
      <c r="D276" s="25" t="str">
        <f aca="false">IF($B276="","",IF(F276="kg","g",IF(F276="L","ml",F276)))</f>
        <v>g</v>
      </c>
      <c r="E276" s="27" t="n">
        <f aca="false">IF($B276="","",IFERROR(INDEX('Liste des ingrédients'!$H$5:$H$98,MATCH($B276,'Liste des ingrédients'!$B$5:$B$98,0)),0))</f>
        <v>2</v>
      </c>
      <c r="F276" s="25" t="str">
        <f aca="false">IF($B276="","",IFERROR(INDEX('Liste des ingrédients'!$G$5:$G$98,MATCH($B276,'Liste des ingrédients'!$B$5:$B$98,0)),"?"))</f>
        <v>kg</v>
      </c>
      <c r="G276" s="27" t="n">
        <f aca="false">IF(OR($B276="",$C276=""),0,IFERROR($C276*E276/IF(OR(F276="kg",F276="L"),1000,1),0))</f>
        <v>0.6</v>
      </c>
      <c r="H276" s="25" t="str">
        <f aca="false">IF(AND($A276&lt;&gt;"",$A276='Fiche plat'!$C$3),COUNTIF($A$5:$A276,'Fiche plat'!$C$3),"")</f>
        <v/>
      </c>
      <c r="I276" s="0" t="str">
        <f aca="false">IF($A276="","",IFERROR(INDEX(Plats!$D$5:$D$48,MATCH($A276,Plats!$I$5:$I$48,0)),""))</f>
        <v>Oui</v>
      </c>
    </row>
    <row r="277" customFormat="false" ht="15" hidden="false" customHeight="false" outlineLevel="0" collapsed="false">
      <c r="A277" s="25" t="s">
        <v>165</v>
      </c>
      <c r="B277" s="25" t="s">
        <v>150</v>
      </c>
      <c r="C277" s="34" t="n">
        <v>300</v>
      </c>
      <c r="D277" s="25" t="str">
        <f aca="false">IF($B277="","",IF(F277="kg","g",IF(F277="L","ml",F277)))</f>
        <v>g</v>
      </c>
      <c r="E277" s="27" t="n">
        <f aca="false">IF($B277="","",IFERROR(INDEX('Liste des ingrédients'!$H$5:$H$98,MATCH($B277,'Liste des ingrédients'!$B$5:$B$98,0)),0))</f>
        <v>1.5</v>
      </c>
      <c r="F277" s="25" t="str">
        <f aca="false">IF($B277="","",IFERROR(INDEX('Liste des ingrédients'!$G$5:$G$98,MATCH($B277,'Liste des ingrédients'!$B$5:$B$98,0)),"?"))</f>
        <v>kg</v>
      </c>
      <c r="G277" s="27" t="n">
        <f aca="false">IF(OR($B277="",$C277=""),0,IFERROR($C277*E277/IF(OR(F277="kg",F277="L"),1000,1),0))</f>
        <v>0.45</v>
      </c>
      <c r="H277" s="25" t="str">
        <f aca="false">IF(AND($A277&lt;&gt;"",$A277='Fiche plat'!$C$3),COUNTIF($A$5:$A277,'Fiche plat'!$C$3),"")</f>
        <v/>
      </c>
      <c r="I277" s="0" t="str">
        <f aca="false">IF($A277="","",IFERROR(INDEX(Plats!$D$5:$D$48,MATCH($A277,Plats!$I$5:$I$48,0)),""))</f>
        <v>Oui</v>
      </c>
    </row>
    <row r="278" customFormat="false" ht="15" hidden="false" customHeight="false" outlineLevel="0" collapsed="false">
      <c r="A278" s="25" t="s">
        <v>165</v>
      </c>
      <c r="B278" s="25" t="s">
        <v>92</v>
      </c>
      <c r="C278" s="34" t="n">
        <v>300</v>
      </c>
      <c r="D278" s="25" t="str">
        <f aca="false">IF($B278="","",IF(F278="kg","g",IF(F278="L","ml",F278)))</f>
        <v>g</v>
      </c>
      <c r="E278" s="27" t="n">
        <f aca="false">IF($B278="","",IFERROR(INDEX('Liste des ingrédients'!$H$5:$H$98,MATCH($B278,'Liste des ingrédients'!$B$5:$B$98,0)),0))</f>
        <v>2.5</v>
      </c>
      <c r="F278" s="25" t="str">
        <f aca="false">IF($B278="","",IFERROR(INDEX('Liste des ingrédients'!$G$5:$G$98,MATCH($B278,'Liste des ingrédients'!$B$5:$B$98,0)),"?"))</f>
        <v>kg</v>
      </c>
      <c r="G278" s="27" t="n">
        <f aca="false">IF(OR($B278="",$C278=""),0,IFERROR($C278*E278/IF(OR(F278="kg",F278="L"),1000,1),0))</f>
        <v>0.75</v>
      </c>
      <c r="H278" s="25" t="str">
        <f aca="false">IF(AND($A278&lt;&gt;"",$A278='Fiche plat'!$C$3),COUNTIF($A$5:$A278,'Fiche plat'!$C$3),"")</f>
        <v/>
      </c>
      <c r="I278" s="0" t="str">
        <f aca="false">IF($A278="","",IFERROR(INDEX(Plats!$D$5:$D$48,MATCH($A278,Plats!$I$5:$I$48,0)),""))</f>
        <v>Oui</v>
      </c>
    </row>
    <row r="279" customFormat="false" ht="15" hidden="false" customHeight="false" outlineLevel="0" collapsed="false">
      <c r="A279" s="25" t="s">
        <v>165</v>
      </c>
      <c r="B279" s="25" t="s">
        <v>93</v>
      </c>
      <c r="C279" s="34" t="n">
        <v>100</v>
      </c>
      <c r="D279" s="25" t="str">
        <f aca="false">IF($B279="","",IF(F279="kg","g",IF(F279="L","ml",F279)))</f>
        <v>g</v>
      </c>
      <c r="E279" s="27" t="n">
        <f aca="false">IF($B279="","",IFERROR(INDEX('Liste des ingrédients'!$H$5:$H$98,MATCH($B279,'Liste des ingrédients'!$B$5:$B$98,0)),0))</f>
        <v>1.2</v>
      </c>
      <c r="F279" s="25" t="str">
        <f aca="false">IF($B279="","",IFERROR(INDEX('Liste des ingrédients'!$G$5:$G$98,MATCH($B279,'Liste des ingrédients'!$B$5:$B$98,0)),"?"))</f>
        <v>kg</v>
      </c>
      <c r="G279" s="27" t="n">
        <f aca="false">IF(OR($B279="",$C279=""),0,IFERROR($C279*E279/IF(OR(F279="kg",F279="L"),1000,1),0))</f>
        <v>0.12</v>
      </c>
      <c r="H279" s="25" t="str">
        <f aca="false">IF(AND($A279&lt;&gt;"",$A279='Fiche plat'!$C$3),COUNTIF($A$5:$A279,'Fiche plat'!$C$3),"")</f>
        <v/>
      </c>
      <c r="I279" s="0" t="str">
        <f aca="false">IF($A279="","",IFERROR(INDEX(Plats!$D$5:$D$48,MATCH($A279,Plats!$I$5:$I$48,0)),""))</f>
        <v>Oui</v>
      </c>
    </row>
    <row r="280" customFormat="false" ht="15" hidden="false" customHeight="false" outlineLevel="0" collapsed="false">
      <c r="A280" s="25" t="s">
        <v>165</v>
      </c>
      <c r="B280" s="25" t="s">
        <v>94</v>
      </c>
      <c r="C280" s="34" t="n">
        <v>120</v>
      </c>
      <c r="D280" s="25" t="str">
        <f aca="false">IF($B280="","",IF(F280="kg","g",IF(F280="L","ml",F280)))</f>
        <v>g</v>
      </c>
      <c r="E280" s="27" t="n">
        <f aca="false">IF($B280="","",IFERROR(INDEX('Liste des ingrédients'!$H$5:$H$98,MATCH($B280,'Liste des ingrédients'!$B$5:$B$98,0)),0))</f>
        <v>2.5</v>
      </c>
      <c r="F280" s="25" t="str">
        <f aca="false">IF($B280="","",IFERROR(INDEX('Liste des ingrédients'!$G$5:$G$98,MATCH($B280,'Liste des ingrédients'!$B$5:$B$98,0)),"?"))</f>
        <v>kg</v>
      </c>
      <c r="G280" s="27" t="n">
        <f aca="false">IF(OR($B280="",$C280=""),0,IFERROR($C280*E280/IF(OR(F280="kg",F280="L"),1000,1),0))</f>
        <v>0.3</v>
      </c>
      <c r="H280" s="25" t="str">
        <f aca="false">IF(AND($A280&lt;&gt;"",$A280='Fiche plat'!$C$3),COUNTIF($A$5:$A280,'Fiche plat'!$C$3),"")</f>
        <v/>
      </c>
      <c r="I280" s="0" t="str">
        <f aca="false">IF($A280="","",IFERROR(INDEX(Plats!$D$5:$D$48,MATCH($A280,Plats!$I$5:$I$48,0)),""))</f>
        <v>Oui</v>
      </c>
    </row>
    <row r="281" customFormat="false" ht="15" hidden="false" customHeight="false" outlineLevel="0" collapsed="false">
      <c r="A281" s="25" t="s">
        <v>165</v>
      </c>
      <c r="B281" s="25" t="s">
        <v>95</v>
      </c>
      <c r="C281" s="34" t="n">
        <v>40</v>
      </c>
      <c r="D281" s="25" t="str">
        <f aca="false">IF($B281="","",IF(F281="kg","g",IF(F281="L","ml",F281)))</f>
        <v>g</v>
      </c>
      <c r="E281" s="27" t="n">
        <f aca="false">IF($B281="","",IFERROR(INDEX('Liste des ingrédients'!$H$5:$H$98,MATCH($B281,'Liste des ingrédients'!$B$5:$B$98,0)),0))</f>
        <v>9</v>
      </c>
      <c r="F281" s="25" t="str">
        <f aca="false">IF($B281="","",IFERROR(INDEX('Liste des ingrédients'!$G$5:$G$98,MATCH($B281,'Liste des ingrédients'!$B$5:$B$98,0)),"?"))</f>
        <v>kg</v>
      </c>
      <c r="G281" s="27" t="n">
        <f aca="false">IF(OR($B281="",$C281=""),0,IFERROR($C281*E281/IF(OR(F281="kg",F281="L"),1000,1),0))</f>
        <v>0.36</v>
      </c>
      <c r="H281" s="25" t="str">
        <f aca="false">IF(AND($A281&lt;&gt;"",$A281='Fiche plat'!$C$3),COUNTIF($A$5:$A281,'Fiche plat'!$C$3),"")</f>
        <v/>
      </c>
      <c r="I281" s="0" t="str">
        <f aca="false">IF($A281="","",IFERROR(INDEX(Plats!$D$5:$D$48,MATCH($A281,Plats!$I$5:$I$48,0)),""))</f>
        <v>Oui</v>
      </c>
    </row>
    <row r="282" customFormat="false" ht="15" hidden="false" customHeight="false" outlineLevel="0" collapsed="false">
      <c r="A282" s="25" t="s">
        <v>165</v>
      </c>
      <c r="B282" s="25" t="s">
        <v>96</v>
      </c>
      <c r="C282" s="34" t="n">
        <v>15</v>
      </c>
      <c r="D282" s="25" t="str">
        <f aca="false">IF($B282="","",IF(F282="kg","g",IF(F282="L","ml",F282)))</f>
        <v>g</v>
      </c>
      <c r="E282" s="27" t="n">
        <f aca="false">IF($B282="","",IFERROR(INDEX('Liste des ingrédients'!$H$5:$H$98,MATCH($B282,'Liste des ingrédients'!$B$5:$B$98,0)),0))</f>
        <v>11</v>
      </c>
      <c r="F282" s="25" t="str">
        <f aca="false">IF($B282="","",IFERROR(INDEX('Liste des ingrédients'!$G$5:$G$98,MATCH($B282,'Liste des ingrédients'!$B$5:$B$98,0)),"?"))</f>
        <v>kg</v>
      </c>
      <c r="G282" s="27" t="n">
        <f aca="false">IF(OR($B282="",$C282=""),0,IFERROR($C282*E282/IF(OR(F282="kg",F282="L"),1000,1),0))</f>
        <v>0.165</v>
      </c>
      <c r="H282" s="25" t="str">
        <f aca="false">IF(AND($A282&lt;&gt;"",$A282='Fiche plat'!$C$3),COUNTIF($A$5:$A282,'Fiche plat'!$C$3),"")</f>
        <v/>
      </c>
      <c r="I282" s="0" t="str">
        <f aca="false">IF($A282="","",IFERROR(INDEX(Plats!$D$5:$D$48,MATCH($A282,Plats!$I$5:$I$48,0)),""))</f>
        <v>Oui</v>
      </c>
    </row>
    <row r="283" customFormat="false" ht="15" hidden="false" customHeight="false" outlineLevel="0" collapsed="false">
      <c r="A283" s="25" t="s">
        <v>165</v>
      </c>
      <c r="B283" s="25" t="s">
        <v>98</v>
      </c>
      <c r="C283" s="34" t="n">
        <v>3</v>
      </c>
      <c r="D283" s="25" t="str">
        <f aca="false">IF($B283="","",IF(F283="kg","g",IF(F283="L","ml",F283)))</f>
        <v>g</v>
      </c>
      <c r="E283" s="27" t="n">
        <f aca="false">IF($B283="","",IFERROR(INDEX('Liste des ingrédients'!$H$5:$H$98,MATCH($B283,'Liste des ingrédients'!$B$5:$B$98,0)),0))</f>
        <v>40</v>
      </c>
      <c r="F283" s="25" t="str">
        <f aca="false">IF($B283="","",IFERROR(INDEX('Liste des ingrédients'!$G$5:$G$98,MATCH($B283,'Liste des ingrédients'!$B$5:$B$98,0)),"?"))</f>
        <v>kg</v>
      </c>
      <c r="G283" s="27" t="n">
        <f aca="false">IF(OR($B283="",$C283=""),0,IFERROR($C283*E283/IF(OR(F283="kg",F283="L"),1000,1),0))</f>
        <v>0.12</v>
      </c>
      <c r="H283" s="25" t="str">
        <f aca="false">IF(AND($A283&lt;&gt;"",$A283='Fiche plat'!$C$3),COUNTIF($A$5:$A283,'Fiche plat'!$C$3),"")</f>
        <v/>
      </c>
      <c r="I283" s="0" t="str">
        <f aca="false">IF($A283="","",IFERROR(INDEX(Plats!$D$5:$D$48,MATCH($A283,Plats!$I$5:$I$48,0)),""))</f>
        <v>Oui</v>
      </c>
    </row>
    <row r="284" customFormat="false" ht="15" hidden="false" customHeight="false" outlineLevel="0" collapsed="false">
      <c r="A284" s="25" t="s">
        <v>165</v>
      </c>
      <c r="B284" s="25" t="s">
        <v>99</v>
      </c>
      <c r="C284" s="34" t="n">
        <v>2.5</v>
      </c>
      <c r="D284" s="25" t="str">
        <f aca="false">IF($B284="","",IF(F284="kg","g",IF(F284="L","ml",F284)))</f>
        <v>g</v>
      </c>
      <c r="E284" s="27" t="n">
        <f aca="false">IF($B284="","",IFERROR(INDEX('Liste des ingrédients'!$H$5:$H$98,MATCH($B284,'Liste des ingrédients'!$B$5:$B$98,0)),0))</f>
        <v>40</v>
      </c>
      <c r="F284" s="25" t="str">
        <f aca="false">IF($B284="","",IFERROR(INDEX('Liste des ingrédients'!$G$5:$G$98,MATCH($B284,'Liste des ingrédients'!$B$5:$B$98,0)),"?"))</f>
        <v>kg</v>
      </c>
      <c r="G284" s="27" t="n">
        <f aca="false">IF(OR($B284="",$C284=""),0,IFERROR($C284*E284/IF(OR(F284="kg",F284="L"),1000,1),0))</f>
        <v>0.1</v>
      </c>
      <c r="H284" s="25" t="str">
        <f aca="false">IF(AND($A284&lt;&gt;"",$A284='Fiche plat'!$C$3),COUNTIF($A$5:$A284,'Fiche plat'!$C$3),"")</f>
        <v/>
      </c>
      <c r="I284" s="0" t="str">
        <f aca="false">IF($A284="","",IFERROR(INDEX(Plats!$D$5:$D$48,MATCH($A284,Plats!$I$5:$I$48,0)),""))</f>
        <v>Oui</v>
      </c>
    </row>
    <row r="285" customFormat="false" ht="15" hidden="false" customHeight="false" outlineLevel="0" collapsed="false">
      <c r="A285" s="25" t="s">
        <v>165</v>
      </c>
      <c r="B285" s="25" t="s">
        <v>117</v>
      </c>
      <c r="C285" s="34" t="n">
        <v>2.5</v>
      </c>
      <c r="D285" s="25" t="str">
        <f aca="false">IF($B285="","",IF(F285="kg","g",IF(F285="L","ml",F285)))</f>
        <v>g</v>
      </c>
      <c r="E285" s="27" t="n">
        <f aca="false">IF($B285="","",IFERROR(INDEX('Liste des ingrédients'!$H$5:$H$98,MATCH($B285,'Liste des ingrédients'!$B$5:$B$98,0)),0))</f>
        <v>33</v>
      </c>
      <c r="F285" s="25" t="str">
        <f aca="false">IF($B285="","",IFERROR(INDEX('Liste des ingrédients'!$G$5:$G$98,MATCH($B285,'Liste des ingrédients'!$B$5:$B$98,0)),"?"))</f>
        <v>kg</v>
      </c>
      <c r="G285" s="27" t="n">
        <f aca="false">IF(OR($B285="",$C285=""),0,IFERROR($C285*E285/IF(OR(F285="kg",F285="L"),1000,1),0))</f>
        <v>0.0825</v>
      </c>
      <c r="H285" s="25" t="str">
        <f aca="false">IF(AND($A285&lt;&gt;"",$A285='Fiche plat'!$C$3),COUNTIF($A$5:$A285,'Fiche plat'!$C$3),"")</f>
        <v/>
      </c>
      <c r="I285" s="0" t="str">
        <f aca="false">IF($A285="","",IFERROR(INDEX(Plats!$D$5:$D$48,MATCH($A285,Plats!$I$5:$I$48,0)),""))</f>
        <v>Oui</v>
      </c>
    </row>
    <row r="286" customFormat="false" ht="15" hidden="false" customHeight="false" outlineLevel="0" collapsed="false">
      <c r="A286" s="25" t="s">
        <v>165</v>
      </c>
      <c r="B286" s="25" t="s">
        <v>101</v>
      </c>
      <c r="C286" s="34" t="n">
        <v>150</v>
      </c>
      <c r="D286" s="25" t="str">
        <f aca="false">IF($B286="","",IF(F286="kg","g",IF(F286="L","ml",F286)))</f>
        <v>ml</v>
      </c>
      <c r="E286" s="27" t="n">
        <f aca="false">IF($B286="","",IFERROR(INDEX('Liste des ingrédients'!$H$5:$H$98,MATCH($B286,'Liste des ingrédients'!$B$5:$B$98,0)),0))</f>
        <v>12.5</v>
      </c>
      <c r="F286" s="25" t="str">
        <f aca="false">IF($B286="","",IFERROR(INDEX('Liste des ingrédients'!$G$5:$G$98,MATCH($B286,'Liste des ingrédients'!$B$5:$B$98,0)),"?"))</f>
        <v>L</v>
      </c>
      <c r="G286" s="27" t="n">
        <f aca="false">IF(OR($B286="",$C286=""),0,IFERROR($C286*E286/IF(OR(F286="kg",F286="L"),1000,1),0))</f>
        <v>1.875</v>
      </c>
      <c r="H286" s="25" t="str">
        <f aca="false">IF(AND($A286&lt;&gt;"",$A286='Fiche plat'!$C$3),COUNTIF($A$5:$A286,'Fiche plat'!$C$3),"")</f>
        <v/>
      </c>
      <c r="I286" s="0" t="str">
        <f aca="false">IF($A286="","",IFERROR(INDEX(Plats!$D$5:$D$48,MATCH($A286,Plats!$I$5:$I$48,0)),""))</f>
        <v>Oui</v>
      </c>
    </row>
    <row r="287" customFormat="false" ht="15" hidden="false" customHeight="false" outlineLevel="0" collapsed="false">
      <c r="A287" s="25" t="s">
        <v>165</v>
      </c>
      <c r="B287" s="25" t="s">
        <v>102</v>
      </c>
      <c r="C287" s="34" t="n">
        <v>12</v>
      </c>
      <c r="D287" s="25" t="str">
        <f aca="false">IF($B287="","",IF(F287="kg","g",IF(F287="L","ml",F287)))</f>
        <v>g</v>
      </c>
      <c r="E287" s="27" t="n">
        <f aca="false">IF($B287="","",IFERROR(INDEX('Liste des ingrédients'!$H$5:$H$98,MATCH($B287,'Liste des ingrédients'!$B$5:$B$98,0)),0))</f>
        <v>0.8</v>
      </c>
      <c r="F287" s="25" t="str">
        <f aca="false">IF($B287="","",IFERROR(INDEX('Liste des ingrédients'!$G$5:$G$98,MATCH($B287,'Liste des ingrédients'!$B$5:$B$98,0)),"?"))</f>
        <v>kg</v>
      </c>
      <c r="G287" s="27" t="n">
        <f aca="false">IF(OR($B287="",$C287=""),0,IFERROR($C287*E287/IF(OR(F287="kg",F287="L"),1000,1),0))</f>
        <v>0.0096</v>
      </c>
      <c r="H287" s="25" t="str">
        <f aca="false">IF(AND($A287&lt;&gt;"",$A287='Fiche plat'!$C$3),COUNTIF($A$5:$A287,'Fiche plat'!$C$3),"")</f>
        <v/>
      </c>
      <c r="I287" s="0" t="str">
        <f aca="false">IF($A287="","",IFERROR(INDEX(Plats!$D$5:$D$48,MATCH($A287,Plats!$I$5:$I$48,0)),""))</f>
        <v>Oui</v>
      </c>
    </row>
    <row r="288" customFormat="false" ht="15" hidden="false" customHeight="false" outlineLevel="0" collapsed="false">
      <c r="A288" s="25" t="s">
        <v>165</v>
      </c>
      <c r="B288" s="25" t="s">
        <v>103</v>
      </c>
      <c r="C288" s="34" t="n">
        <v>2.5</v>
      </c>
      <c r="D288" s="25" t="str">
        <f aca="false">IF($B288="","",IF(F288="kg","g",IF(F288="L","ml",F288)))</f>
        <v>g</v>
      </c>
      <c r="E288" s="27" t="n">
        <f aca="false">IF($B288="","",IFERROR(INDEX('Liste des ingrédients'!$H$5:$H$98,MATCH($B288,'Liste des ingrédients'!$B$5:$B$98,0)),0))</f>
        <v>50</v>
      </c>
      <c r="F288" s="25" t="str">
        <f aca="false">IF($B288="","",IFERROR(INDEX('Liste des ingrédients'!$G$5:$G$98,MATCH($B288,'Liste des ingrédients'!$B$5:$B$98,0)),"?"))</f>
        <v>kg</v>
      </c>
      <c r="G288" s="27" t="n">
        <f aca="false">IF(OR($B288="",$C288=""),0,IFERROR($C288*E288/IF(OR(F288="kg",F288="L"),1000,1),0))</f>
        <v>0.125</v>
      </c>
      <c r="H288" s="25" t="str">
        <f aca="false">IF(AND($A288&lt;&gt;"",$A288='Fiche plat'!$C$3),COUNTIF($A$5:$A288,'Fiche plat'!$C$3),"")</f>
        <v/>
      </c>
      <c r="I288" s="0" t="str">
        <f aca="false">IF($A288="","",IFERROR(INDEX(Plats!$D$5:$D$48,MATCH($A288,Plats!$I$5:$I$48,0)),""))</f>
        <v>Oui</v>
      </c>
    </row>
    <row r="289" customFormat="false" ht="15" hidden="false" customHeight="false" outlineLevel="0" collapsed="false">
      <c r="A289" s="22" t="s">
        <v>166</v>
      </c>
      <c r="B289" s="22" t="s">
        <v>167</v>
      </c>
      <c r="C289" s="35" t="n">
        <v>150</v>
      </c>
      <c r="D289" s="22" t="str">
        <f aca="false">IF($B289="","",IF(F289="kg","g",IF(F289="L","ml",F289)))</f>
        <v>g</v>
      </c>
      <c r="E289" s="24" t="n">
        <f aca="false">IF($B289="","",IFERROR(INDEX('Liste des ingrédients'!$H$5:$H$98,MATCH($B289,'Liste des ingrédients'!$B$5:$B$98,0)),0))</f>
        <v>3.3</v>
      </c>
      <c r="F289" s="22" t="str">
        <f aca="false">IF($B289="","",IFERROR(INDEX('Liste des ingrédients'!$G$5:$G$98,MATCH($B289,'Liste des ingrédients'!$B$5:$B$98,0)),"?"))</f>
        <v>kg</v>
      </c>
      <c r="G289" s="24" t="n">
        <f aca="false">IF(OR($B289="",$C289=""),0,IFERROR($C289*E289/IF(OR(F289="kg",F289="L"),1000,1),0))</f>
        <v>0.495</v>
      </c>
      <c r="H289" s="22" t="str">
        <f aca="false">IF(AND($A289&lt;&gt;"",$A289='Fiche plat'!$C$3),COUNTIF($A$5:$A289,'Fiche plat'!$C$3),"")</f>
        <v/>
      </c>
      <c r="I289" s="0" t="str">
        <f aca="false">IF($A289="","",IFERROR(INDEX(Plats!$D$5:$D$48,MATCH($A289,Plats!$I$5:$I$48,0)),""))</f>
        <v>Oui</v>
      </c>
    </row>
    <row r="290" customFormat="false" ht="15" hidden="false" customHeight="false" outlineLevel="0" collapsed="false">
      <c r="A290" s="22" t="s">
        <v>166</v>
      </c>
      <c r="B290" s="22" t="s">
        <v>146</v>
      </c>
      <c r="C290" s="35" t="n">
        <v>500</v>
      </c>
      <c r="D290" s="22" t="str">
        <f aca="false">IF($B290="","",IF(F290="kg","g",IF(F290="L","ml",F290)))</f>
        <v>g</v>
      </c>
      <c r="E290" s="24" t="n">
        <f aca="false">IF($B290="","",IFERROR(INDEX('Liste des ingrédients'!$H$5:$H$98,MATCH($B290,'Liste des ingrédients'!$B$5:$B$98,0)),0))</f>
        <v>14.9</v>
      </c>
      <c r="F290" s="22" t="str">
        <f aca="false">IF($B290="","",IFERROR(INDEX('Liste des ingrédients'!$G$5:$G$98,MATCH($B290,'Liste des ingrédients'!$B$5:$B$98,0)),"?"))</f>
        <v>kg</v>
      </c>
      <c r="G290" s="24" t="n">
        <f aca="false">IF(OR($B290="",$C290=""),0,IFERROR($C290*E290/IF(OR(F290="kg",F290="L"),1000,1),0))</f>
        <v>7.45</v>
      </c>
      <c r="H290" s="22" t="str">
        <f aca="false">IF(AND($A290&lt;&gt;"",$A290='Fiche plat'!$C$3),COUNTIF($A$5:$A290,'Fiche plat'!$C$3),"")</f>
        <v/>
      </c>
      <c r="I290" s="0" t="str">
        <f aca="false">IF($A290="","",IFERROR(INDEX(Plats!$D$5:$D$48,MATCH($A290,Plats!$I$5:$I$48,0)),""))</f>
        <v>Oui</v>
      </c>
    </row>
    <row r="291" customFormat="false" ht="15" hidden="false" customHeight="false" outlineLevel="0" collapsed="false">
      <c r="A291" s="22" t="s">
        <v>166</v>
      </c>
      <c r="B291" s="22" t="s">
        <v>90</v>
      </c>
      <c r="C291" s="35" t="n">
        <v>200</v>
      </c>
      <c r="D291" s="22" t="str">
        <f aca="false">IF($B291="","",IF(F291="kg","g",IF(F291="L","ml",F291)))</f>
        <v>g</v>
      </c>
      <c r="E291" s="24" t="n">
        <f aca="false">IF($B291="","",IFERROR(INDEX('Liste des ingrédients'!$H$5:$H$98,MATCH($B291,'Liste des ingrédients'!$B$5:$B$98,0)),0))</f>
        <v>2.5</v>
      </c>
      <c r="F291" s="22" t="str">
        <f aca="false">IF($B291="","",IFERROR(INDEX('Liste des ingrédients'!$G$5:$G$98,MATCH($B291,'Liste des ingrédients'!$B$5:$B$98,0)),"?"))</f>
        <v>kg</v>
      </c>
      <c r="G291" s="24" t="n">
        <f aca="false">IF(OR($B291="",$C291=""),0,IFERROR($C291*E291/IF(OR(F291="kg",F291="L"),1000,1),0))</f>
        <v>0.5</v>
      </c>
      <c r="H291" s="22" t="str">
        <f aca="false">IF(AND($A291&lt;&gt;"",$A291='Fiche plat'!$C$3),COUNTIF($A$5:$A291,'Fiche plat'!$C$3),"")</f>
        <v/>
      </c>
      <c r="I291" s="0" t="str">
        <f aca="false">IF($A291="","",IFERROR(INDEX(Plats!$D$5:$D$48,MATCH($A291,Plats!$I$5:$I$48,0)),""))</f>
        <v>Oui</v>
      </c>
    </row>
    <row r="292" customFormat="false" ht="15" hidden="false" customHeight="false" outlineLevel="0" collapsed="false">
      <c r="A292" s="22" t="s">
        <v>166</v>
      </c>
      <c r="B292" s="22" t="s">
        <v>91</v>
      </c>
      <c r="C292" s="35" t="n">
        <v>150</v>
      </c>
      <c r="D292" s="22" t="str">
        <f aca="false">IF($B292="","",IF(F292="kg","g",IF(F292="L","ml",F292)))</f>
        <v>g</v>
      </c>
      <c r="E292" s="24" t="n">
        <f aca="false">IF($B292="","",IFERROR(INDEX('Liste des ingrédients'!$H$5:$H$98,MATCH($B292,'Liste des ingrédients'!$B$5:$B$98,0)),0))</f>
        <v>2</v>
      </c>
      <c r="F292" s="22" t="str">
        <f aca="false">IF($B292="","",IFERROR(INDEX('Liste des ingrédients'!$G$5:$G$98,MATCH($B292,'Liste des ingrédients'!$B$5:$B$98,0)),"?"))</f>
        <v>kg</v>
      </c>
      <c r="G292" s="24" t="n">
        <f aca="false">IF(OR($B292="",$C292=""),0,IFERROR($C292*E292/IF(OR(F292="kg",F292="L"),1000,1),0))</f>
        <v>0.3</v>
      </c>
      <c r="H292" s="22" t="str">
        <f aca="false">IF(AND($A292&lt;&gt;"",$A292='Fiche plat'!$C$3),COUNTIF($A$5:$A292,'Fiche plat'!$C$3),"")</f>
        <v/>
      </c>
      <c r="I292" s="0" t="str">
        <f aca="false">IF($A292="","",IFERROR(INDEX(Plats!$D$5:$D$48,MATCH($A292,Plats!$I$5:$I$48,0)),""))</f>
        <v>Oui</v>
      </c>
    </row>
    <row r="293" customFormat="false" ht="15" hidden="false" customHeight="false" outlineLevel="0" collapsed="false">
      <c r="A293" s="22" t="s">
        <v>166</v>
      </c>
      <c r="B293" s="22" t="s">
        <v>93</v>
      </c>
      <c r="C293" s="35" t="n">
        <v>100</v>
      </c>
      <c r="D293" s="22" t="str">
        <f aca="false">IF($B293="","",IF(F293="kg","g",IF(F293="L","ml",F293)))</f>
        <v>g</v>
      </c>
      <c r="E293" s="24" t="n">
        <f aca="false">IF($B293="","",IFERROR(INDEX('Liste des ingrédients'!$H$5:$H$98,MATCH($B293,'Liste des ingrédients'!$B$5:$B$98,0)),0))</f>
        <v>1.2</v>
      </c>
      <c r="F293" s="22" t="str">
        <f aca="false">IF($B293="","",IFERROR(INDEX('Liste des ingrédients'!$G$5:$G$98,MATCH($B293,'Liste des ingrédients'!$B$5:$B$98,0)),"?"))</f>
        <v>kg</v>
      </c>
      <c r="G293" s="24" t="n">
        <f aca="false">IF(OR($B293="",$C293=""),0,IFERROR($C293*E293/IF(OR(F293="kg",F293="L"),1000,1),0))</f>
        <v>0.12</v>
      </c>
      <c r="H293" s="22" t="str">
        <f aca="false">IF(AND($A293&lt;&gt;"",$A293='Fiche plat'!$C$3),COUNTIF($A$5:$A293,'Fiche plat'!$C$3),"")</f>
        <v/>
      </c>
      <c r="I293" s="0" t="str">
        <f aca="false">IF($A293="","",IFERROR(INDEX(Plats!$D$5:$D$48,MATCH($A293,Plats!$I$5:$I$48,0)),""))</f>
        <v>Oui</v>
      </c>
    </row>
    <row r="294" customFormat="false" ht="15" hidden="false" customHeight="false" outlineLevel="0" collapsed="false">
      <c r="A294" s="22" t="s">
        <v>166</v>
      </c>
      <c r="B294" s="22" t="s">
        <v>123</v>
      </c>
      <c r="C294" s="35" t="n">
        <v>0.25</v>
      </c>
      <c r="D294" s="22" t="str">
        <f aca="false">IF($B294="","",IF(F294="kg","g",IF(F294="L","ml",F294)))</f>
        <v>botte</v>
      </c>
      <c r="E294" s="24" t="n">
        <f aca="false">IF($B294="","",IFERROR(INDEX('Liste des ingrédients'!$H$5:$H$98,MATCH($B294,'Liste des ingrédients'!$B$5:$B$98,0)),0))</f>
        <v>1</v>
      </c>
      <c r="F294" s="22" t="str">
        <f aca="false">IF($B294="","",IFERROR(INDEX('Liste des ingrédients'!$G$5:$G$98,MATCH($B294,'Liste des ingrédients'!$B$5:$B$98,0)),"?"))</f>
        <v>botte</v>
      </c>
      <c r="G294" s="24" t="n">
        <f aca="false">IF(OR($B294="",$C294=""),0,IFERROR($C294*E294/IF(OR(F294="kg",F294="L"),1000,1),0))</f>
        <v>0.25</v>
      </c>
      <c r="H294" s="22" t="str">
        <f aca="false">IF(AND($A294&lt;&gt;"",$A294='Fiche plat'!$C$3),COUNTIF($A$5:$A294,'Fiche plat'!$C$3),"")</f>
        <v/>
      </c>
      <c r="I294" s="0" t="str">
        <f aca="false">IF($A294="","",IFERROR(INDEX(Plats!$D$5:$D$48,MATCH($A294,Plats!$I$5:$I$48,0)),""))</f>
        <v>Oui</v>
      </c>
    </row>
    <row r="295" customFormat="false" ht="15" hidden="false" customHeight="false" outlineLevel="0" collapsed="false">
      <c r="A295" s="22" t="s">
        <v>166</v>
      </c>
      <c r="B295" s="22" t="s">
        <v>116</v>
      </c>
      <c r="C295" s="35" t="n">
        <v>0.5</v>
      </c>
      <c r="D295" s="22" t="str">
        <f aca="false">IF($B295="","",IF(F295="kg","g",IF(F295="L","ml",F295)))</f>
        <v>botte</v>
      </c>
      <c r="E295" s="24" t="n">
        <f aca="false">IF($B295="","",IFERROR(INDEX('Liste des ingrédients'!$H$5:$H$98,MATCH($B295,'Liste des ingrédients'!$B$5:$B$98,0)),0))</f>
        <v>0.8</v>
      </c>
      <c r="F295" s="22" t="str">
        <f aca="false">IF($B295="","",IFERROR(INDEX('Liste des ingrédients'!$G$5:$G$98,MATCH($B295,'Liste des ingrédients'!$B$5:$B$98,0)),"?"))</f>
        <v>botte</v>
      </c>
      <c r="G295" s="24" t="n">
        <f aca="false">IF(OR($B295="",$C295=""),0,IFERROR($C295*E295/IF(OR(F295="kg",F295="L"),1000,1),0))</f>
        <v>0.4</v>
      </c>
      <c r="H295" s="22" t="str">
        <f aca="false">IF(AND($A295&lt;&gt;"",$A295='Fiche plat'!$C$3),COUNTIF($A$5:$A295,'Fiche plat'!$C$3),"")</f>
        <v/>
      </c>
      <c r="I295" s="0" t="str">
        <f aca="false">IF($A295="","",IFERROR(INDEX(Plats!$D$5:$D$48,MATCH($A295,Plats!$I$5:$I$48,0)),""))</f>
        <v>Oui</v>
      </c>
    </row>
    <row r="296" customFormat="false" ht="15" hidden="false" customHeight="false" outlineLevel="0" collapsed="false">
      <c r="A296" s="22" t="s">
        <v>166</v>
      </c>
      <c r="B296" s="22" t="s">
        <v>97</v>
      </c>
      <c r="C296" s="35" t="n">
        <v>15</v>
      </c>
      <c r="D296" s="22" t="str">
        <f aca="false">IF($B296="","",IF(F296="kg","g",IF(F296="L","ml",F296)))</f>
        <v>g</v>
      </c>
      <c r="E296" s="24" t="n">
        <f aca="false">IF($B296="","",IFERROR(INDEX('Liste des ingrédients'!$H$5:$H$98,MATCH($B296,'Liste des ingrédients'!$B$5:$B$98,0)),0))</f>
        <v>15</v>
      </c>
      <c r="F296" s="22" t="str">
        <f aca="false">IF($B296="","",IFERROR(INDEX('Liste des ingrédients'!$G$5:$G$98,MATCH($B296,'Liste des ingrédients'!$B$5:$B$98,0)),"?"))</f>
        <v>kg</v>
      </c>
      <c r="G296" s="24" t="n">
        <f aca="false">IF(OR($B296="",$C296=""),0,IFERROR($C296*E296/IF(OR(F296="kg",F296="L"),1000,1),0))</f>
        <v>0.225</v>
      </c>
      <c r="H296" s="22" t="str">
        <f aca="false">IF(AND($A296&lt;&gt;"",$A296='Fiche plat'!$C$3),COUNTIF($A$5:$A296,'Fiche plat'!$C$3),"")</f>
        <v/>
      </c>
      <c r="I296" s="0" t="str">
        <f aca="false">IF($A296="","",IFERROR(INDEX(Plats!$D$5:$D$48,MATCH($A296,Plats!$I$5:$I$48,0)),""))</f>
        <v>Oui</v>
      </c>
    </row>
    <row r="297" customFormat="false" ht="15" hidden="false" customHeight="false" outlineLevel="0" collapsed="false">
      <c r="A297" s="22" t="s">
        <v>166</v>
      </c>
      <c r="B297" s="22" t="s">
        <v>95</v>
      </c>
      <c r="C297" s="35" t="n">
        <v>40</v>
      </c>
      <c r="D297" s="22" t="str">
        <f aca="false">IF($B297="","",IF(F297="kg","g",IF(F297="L","ml",F297)))</f>
        <v>g</v>
      </c>
      <c r="E297" s="24" t="n">
        <f aca="false">IF($B297="","",IFERROR(INDEX('Liste des ingrédients'!$H$5:$H$98,MATCH($B297,'Liste des ingrédients'!$B$5:$B$98,0)),0))</f>
        <v>9</v>
      </c>
      <c r="F297" s="22" t="str">
        <f aca="false">IF($B297="","",IFERROR(INDEX('Liste des ingrédients'!$G$5:$G$98,MATCH($B297,'Liste des ingrédients'!$B$5:$B$98,0)),"?"))</f>
        <v>kg</v>
      </c>
      <c r="G297" s="24" t="n">
        <f aca="false">IF(OR($B297="",$C297=""),0,IFERROR($C297*E297/IF(OR(F297="kg",F297="L"),1000,1),0))</f>
        <v>0.36</v>
      </c>
      <c r="H297" s="22" t="str">
        <f aca="false">IF(AND($A297&lt;&gt;"",$A297='Fiche plat'!$C$3),COUNTIF($A$5:$A297,'Fiche plat'!$C$3),"")</f>
        <v/>
      </c>
      <c r="I297" s="0" t="str">
        <f aca="false">IF($A297="","",IFERROR(INDEX(Plats!$D$5:$D$48,MATCH($A297,Plats!$I$5:$I$48,0)),""))</f>
        <v>Oui</v>
      </c>
    </row>
    <row r="298" customFormat="false" ht="15" hidden="false" customHeight="false" outlineLevel="0" collapsed="false">
      <c r="A298" s="22" t="s">
        <v>166</v>
      </c>
      <c r="B298" s="22" t="s">
        <v>98</v>
      </c>
      <c r="C298" s="35" t="n">
        <v>3</v>
      </c>
      <c r="D298" s="22" t="str">
        <f aca="false">IF($B298="","",IF(F298="kg","g",IF(F298="L","ml",F298)))</f>
        <v>g</v>
      </c>
      <c r="E298" s="24" t="n">
        <f aca="false">IF($B298="","",IFERROR(INDEX('Liste des ingrédients'!$H$5:$H$98,MATCH($B298,'Liste des ingrédients'!$B$5:$B$98,0)),0))</f>
        <v>40</v>
      </c>
      <c r="F298" s="22" t="str">
        <f aca="false">IF($B298="","",IFERROR(INDEX('Liste des ingrédients'!$G$5:$G$98,MATCH($B298,'Liste des ingrédients'!$B$5:$B$98,0)),"?"))</f>
        <v>kg</v>
      </c>
      <c r="G298" s="24" t="n">
        <f aca="false">IF(OR($B298="",$C298=""),0,IFERROR($C298*E298/IF(OR(F298="kg",F298="L"),1000,1),0))</f>
        <v>0.12</v>
      </c>
      <c r="H298" s="22" t="str">
        <f aca="false">IF(AND($A298&lt;&gt;"",$A298='Fiche plat'!$C$3),COUNTIF($A$5:$A298,'Fiche plat'!$C$3),"")</f>
        <v/>
      </c>
      <c r="I298" s="0" t="str">
        <f aca="false">IF($A298="","",IFERROR(INDEX(Plats!$D$5:$D$48,MATCH($A298,Plats!$I$5:$I$48,0)),""))</f>
        <v>Oui</v>
      </c>
    </row>
    <row r="299" customFormat="false" ht="15" hidden="false" customHeight="false" outlineLevel="0" collapsed="false">
      <c r="A299" s="22" t="s">
        <v>166</v>
      </c>
      <c r="B299" s="22" t="s">
        <v>117</v>
      </c>
      <c r="C299" s="35" t="n">
        <v>2.5</v>
      </c>
      <c r="D299" s="22" t="str">
        <f aca="false">IF($B299="","",IF(F299="kg","g",IF(F299="L","ml",F299)))</f>
        <v>g</v>
      </c>
      <c r="E299" s="24" t="n">
        <f aca="false">IF($B299="","",IFERROR(INDEX('Liste des ingrédients'!$H$5:$H$98,MATCH($B299,'Liste des ingrédients'!$B$5:$B$98,0)),0))</f>
        <v>33</v>
      </c>
      <c r="F299" s="22" t="str">
        <f aca="false">IF($B299="","",IFERROR(INDEX('Liste des ingrédients'!$G$5:$G$98,MATCH($B299,'Liste des ingrédients'!$B$5:$B$98,0)),"?"))</f>
        <v>kg</v>
      </c>
      <c r="G299" s="24" t="n">
        <f aca="false">IF(OR($B299="",$C299=""),0,IFERROR($C299*E299/IF(OR(F299="kg",F299="L"),1000,1),0))</f>
        <v>0.0825</v>
      </c>
      <c r="H299" s="22" t="str">
        <f aca="false">IF(AND($A299&lt;&gt;"",$A299='Fiche plat'!$C$3),COUNTIF($A$5:$A299,'Fiche plat'!$C$3),"")</f>
        <v/>
      </c>
      <c r="I299" s="0" t="str">
        <f aca="false">IF($A299="","",IFERROR(INDEX(Plats!$D$5:$D$48,MATCH($A299,Plats!$I$5:$I$48,0)),""))</f>
        <v>Oui</v>
      </c>
    </row>
    <row r="300" customFormat="false" ht="15" hidden="false" customHeight="false" outlineLevel="0" collapsed="false">
      <c r="A300" s="22" t="s">
        <v>166</v>
      </c>
      <c r="B300" s="22" t="s">
        <v>125</v>
      </c>
      <c r="C300" s="35" t="n">
        <v>1</v>
      </c>
      <c r="D300" s="22" t="str">
        <f aca="false">IF($B300="","",IF(F300="kg","g",IF(F300="L","ml",F300)))</f>
        <v>g</v>
      </c>
      <c r="E300" s="24" t="n">
        <f aca="false">IF($B300="","",IFERROR(INDEX('Liste des ingrédients'!$H$5:$H$98,MATCH($B300,'Liste des ingrédients'!$B$5:$B$98,0)),0))</f>
        <v>50</v>
      </c>
      <c r="F300" s="22" t="str">
        <f aca="false">IF($B300="","",IFERROR(INDEX('Liste des ingrédients'!$G$5:$G$98,MATCH($B300,'Liste des ingrédients'!$B$5:$B$98,0)),"?"))</f>
        <v>kg</v>
      </c>
      <c r="G300" s="24" t="n">
        <f aca="false">IF(OR($B300="",$C300=""),0,IFERROR($C300*E300/IF(OR(F300="kg",F300="L"),1000,1),0))</f>
        <v>0.05</v>
      </c>
      <c r="H300" s="22" t="str">
        <f aca="false">IF(AND($A300&lt;&gt;"",$A300='Fiche plat'!$C$3),COUNTIF($A$5:$A300,'Fiche plat'!$C$3),"")</f>
        <v/>
      </c>
      <c r="I300" s="0" t="str">
        <f aca="false">IF($A300="","",IFERROR(INDEX(Plats!$D$5:$D$48,MATCH($A300,Plats!$I$5:$I$48,0)),""))</f>
        <v>Oui</v>
      </c>
    </row>
    <row r="301" customFormat="false" ht="15" hidden="false" customHeight="false" outlineLevel="0" collapsed="false">
      <c r="A301" s="22" t="s">
        <v>166</v>
      </c>
      <c r="B301" s="22" t="s">
        <v>101</v>
      </c>
      <c r="C301" s="35" t="n">
        <v>60</v>
      </c>
      <c r="D301" s="22" t="str">
        <f aca="false">IF($B301="","",IF(F301="kg","g",IF(F301="L","ml",F301)))</f>
        <v>ml</v>
      </c>
      <c r="E301" s="24" t="n">
        <f aca="false">IF($B301="","",IFERROR(INDEX('Liste des ingrédients'!$H$5:$H$98,MATCH($B301,'Liste des ingrédients'!$B$5:$B$98,0)),0))</f>
        <v>12.5</v>
      </c>
      <c r="F301" s="22" t="str">
        <f aca="false">IF($B301="","",IFERROR(INDEX('Liste des ingrédients'!$G$5:$G$98,MATCH($B301,'Liste des ingrédients'!$B$5:$B$98,0)),"?"))</f>
        <v>L</v>
      </c>
      <c r="G301" s="24" t="n">
        <f aca="false">IF(OR($B301="",$C301=""),0,IFERROR($C301*E301/IF(OR(F301="kg",F301="L"),1000,1),0))</f>
        <v>0.75</v>
      </c>
      <c r="H301" s="22" t="str">
        <f aca="false">IF(AND($A301&lt;&gt;"",$A301='Fiche plat'!$C$3),COUNTIF($A$5:$A301,'Fiche plat'!$C$3),"")</f>
        <v/>
      </c>
      <c r="I301" s="0" t="str">
        <f aca="false">IF($A301="","",IFERROR(INDEX(Plats!$D$5:$D$48,MATCH($A301,Plats!$I$5:$I$48,0)),""))</f>
        <v>Oui</v>
      </c>
    </row>
    <row r="302" customFormat="false" ht="15" hidden="false" customHeight="false" outlineLevel="0" collapsed="false">
      <c r="A302" s="22" t="s">
        <v>166</v>
      </c>
      <c r="B302" s="22" t="s">
        <v>102</v>
      </c>
      <c r="C302" s="35" t="n">
        <v>9</v>
      </c>
      <c r="D302" s="22" t="str">
        <f aca="false">IF($B302="","",IF(F302="kg","g",IF(F302="L","ml",F302)))</f>
        <v>g</v>
      </c>
      <c r="E302" s="24" t="n">
        <f aca="false">IF($B302="","",IFERROR(INDEX('Liste des ingrédients'!$H$5:$H$98,MATCH($B302,'Liste des ingrédients'!$B$5:$B$98,0)),0))</f>
        <v>0.8</v>
      </c>
      <c r="F302" s="22" t="str">
        <f aca="false">IF($B302="","",IFERROR(INDEX('Liste des ingrédients'!$G$5:$G$98,MATCH($B302,'Liste des ingrédients'!$B$5:$B$98,0)),"?"))</f>
        <v>kg</v>
      </c>
      <c r="G302" s="24" t="n">
        <f aca="false">IF(OR($B302="",$C302=""),0,IFERROR($C302*E302/IF(OR(F302="kg",F302="L"),1000,1),0))</f>
        <v>0.0072</v>
      </c>
      <c r="H302" s="22" t="str">
        <f aca="false">IF(AND($A302&lt;&gt;"",$A302='Fiche plat'!$C$3),COUNTIF($A$5:$A302,'Fiche plat'!$C$3),"")</f>
        <v/>
      </c>
      <c r="I302" s="0" t="str">
        <f aca="false">IF($A302="","",IFERROR(INDEX(Plats!$D$5:$D$48,MATCH($A302,Plats!$I$5:$I$48,0)),""))</f>
        <v>Oui</v>
      </c>
    </row>
    <row r="303" customFormat="false" ht="15" hidden="false" customHeight="false" outlineLevel="0" collapsed="false">
      <c r="A303" s="22" t="s">
        <v>166</v>
      </c>
      <c r="B303" s="22" t="s">
        <v>103</v>
      </c>
      <c r="C303" s="35" t="n">
        <v>1</v>
      </c>
      <c r="D303" s="22" t="str">
        <f aca="false">IF($B303="","",IF(F303="kg","g",IF(F303="L","ml",F303)))</f>
        <v>g</v>
      </c>
      <c r="E303" s="24" t="n">
        <f aca="false">IF($B303="","",IFERROR(INDEX('Liste des ingrédients'!$H$5:$H$98,MATCH($B303,'Liste des ingrédients'!$B$5:$B$98,0)),0))</f>
        <v>50</v>
      </c>
      <c r="F303" s="22" t="str">
        <f aca="false">IF($B303="","",IFERROR(INDEX('Liste des ingrédients'!$G$5:$G$98,MATCH($B303,'Liste des ingrédients'!$B$5:$B$98,0)),"?"))</f>
        <v>kg</v>
      </c>
      <c r="G303" s="24" t="n">
        <f aca="false">IF(OR($B303="",$C303=""),0,IFERROR($C303*E303/IF(OR(F303="kg",F303="L"),1000,1),0))</f>
        <v>0.05</v>
      </c>
      <c r="H303" s="22" t="str">
        <f aca="false">IF(AND($A303&lt;&gt;"",$A303='Fiche plat'!$C$3),COUNTIF($A$5:$A303,'Fiche plat'!$C$3),"")</f>
        <v/>
      </c>
      <c r="I303" s="0" t="str">
        <f aca="false">IF($A303="","",IFERROR(INDEX(Plats!$D$5:$D$48,MATCH($A303,Plats!$I$5:$I$48,0)),""))</f>
        <v>Oui</v>
      </c>
    </row>
    <row r="304" customFormat="false" ht="15" hidden="false" customHeight="false" outlineLevel="0" collapsed="false">
      <c r="A304" s="22" t="s">
        <v>166</v>
      </c>
      <c r="B304" s="22" t="s">
        <v>104</v>
      </c>
      <c r="C304" s="35" t="n">
        <v>100</v>
      </c>
      <c r="D304" s="22" t="str">
        <f aca="false">IF($B304="","",IF(F304="kg","g",IF(F304="L","ml",F304)))</f>
        <v>g</v>
      </c>
      <c r="E304" s="24" t="n">
        <f aca="false">IF($B304="","",IFERROR(INDEX('Liste des ingrédients'!$H$5:$H$98,MATCH($B304,'Liste des ingrédients'!$B$5:$B$98,0)),0))</f>
        <v>3</v>
      </c>
      <c r="F304" s="22" t="str">
        <f aca="false">IF($B304="","",IFERROR(INDEX('Liste des ingrédients'!$G$5:$G$98,MATCH($B304,'Liste des ingrédients'!$B$5:$B$98,0)),"?"))</f>
        <v>kg</v>
      </c>
      <c r="G304" s="24" t="n">
        <f aca="false">IF(OR($B304="",$C304=""),0,IFERROR($C304*E304/IF(OR(F304="kg",F304="L"),1000,1),0))</f>
        <v>0.3</v>
      </c>
      <c r="H304" s="22" t="str">
        <f aca="false">IF(AND($A304&lt;&gt;"",$A304='Fiche plat'!$C$3),COUNTIF($A$5:$A304,'Fiche plat'!$C$3),"")</f>
        <v/>
      </c>
      <c r="I304" s="0" t="str">
        <f aca="false">IF($A304="","",IFERROR(INDEX(Plats!$D$5:$D$48,MATCH($A304,Plats!$I$5:$I$48,0)),""))</f>
        <v>Oui</v>
      </c>
    </row>
    <row r="305" customFormat="false" ht="15" hidden="false" customHeight="false" outlineLevel="0" collapsed="false">
      <c r="A305" s="25" t="s">
        <v>168</v>
      </c>
      <c r="B305" s="25" t="s">
        <v>127</v>
      </c>
      <c r="C305" s="34" t="n">
        <v>1100</v>
      </c>
      <c r="D305" s="25" t="str">
        <f aca="false">IF($B305="","",IF(F305="kg","g",IF(F305="L","ml",F305)))</f>
        <v>g</v>
      </c>
      <c r="E305" s="27" t="n">
        <f aca="false">IF($B305="","",IFERROR(INDEX('Liste des ingrédients'!$H$5:$H$98,MATCH($B305,'Liste des ingrédients'!$B$5:$B$98,0)),0))</f>
        <v>14.9</v>
      </c>
      <c r="F305" s="25" t="str">
        <f aca="false">IF($B305="","",IFERROR(INDEX('Liste des ingrédients'!$G$5:$G$98,MATCH($B305,'Liste des ingrédients'!$B$5:$B$98,0)),"?"))</f>
        <v>kg</v>
      </c>
      <c r="G305" s="27" t="n">
        <f aca="false">IF(OR($B305="",$C305=""),0,IFERROR($C305*E305/IF(OR(F305="kg",F305="L"),1000,1),0))</f>
        <v>16.39</v>
      </c>
      <c r="H305" s="25" t="str">
        <f aca="false">IF(AND($A305&lt;&gt;"",$A305='Fiche plat'!$C$3),COUNTIF($A$5:$A305,'Fiche plat'!$C$3),"")</f>
        <v/>
      </c>
      <c r="I305" s="0" t="str">
        <f aca="false">IF($A305="","",IFERROR(INDEX(Plats!$D$5:$D$48,MATCH($A305,Plats!$I$5:$I$48,0)),""))</f>
        <v>Oui</v>
      </c>
    </row>
    <row r="306" customFormat="false" ht="15" hidden="false" customHeight="false" outlineLevel="0" collapsed="false">
      <c r="A306" s="25" t="s">
        <v>168</v>
      </c>
      <c r="B306" s="25" t="s">
        <v>92</v>
      </c>
      <c r="C306" s="34" t="n">
        <v>1000</v>
      </c>
      <c r="D306" s="25" t="str">
        <f aca="false">IF($B306="","",IF(F306="kg","g",IF(F306="L","ml",F306)))</f>
        <v>g</v>
      </c>
      <c r="E306" s="27" t="n">
        <f aca="false">IF($B306="","",IFERROR(INDEX('Liste des ingrédients'!$H$5:$H$98,MATCH($B306,'Liste des ingrédients'!$B$5:$B$98,0)),0))</f>
        <v>2.5</v>
      </c>
      <c r="F306" s="25" t="str">
        <f aca="false">IF($B306="","",IFERROR(INDEX('Liste des ingrédients'!$G$5:$G$98,MATCH($B306,'Liste des ingrédients'!$B$5:$B$98,0)),"?"))</f>
        <v>kg</v>
      </c>
      <c r="G306" s="27" t="n">
        <f aca="false">IF(OR($B306="",$C306=""),0,IFERROR($C306*E306/IF(OR(F306="kg",F306="L"),1000,1),0))</f>
        <v>2.5</v>
      </c>
      <c r="H306" s="25" t="str">
        <f aca="false">IF(AND($A306&lt;&gt;"",$A306='Fiche plat'!$C$3),COUNTIF($A$5:$A306,'Fiche plat'!$C$3),"")</f>
        <v/>
      </c>
      <c r="I306" s="0" t="str">
        <f aca="false">IF($A306="","",IFERROR(INDEX(Plats!$D$5:$D$48,MATCH($A306,Plats!$I$5:$I$48,0)),""))</f>
        <v>Oui</v>
      </c>
    </row>
    <row r="307" customFormat="false" ht="15" hidden="false" customHeight="false" outlineLevel="0" collapsed="false">
      <c r="A307" s="25" t="s">
        <v>168</v>
      </c>
      <c r="B307" s="25" t="s">
        <v>93</v>
      </c>
      <c r="C307" s="34" t="n">
        <v>200</v>
      </c>
      <c r="D307" s="25" t="str">
        <f aca="false">IF($B307="","",IF(F307="kg","g",IF(F307="L","ml",F307)))</f>
        <v>g</v>
      </c>
      <c r="E307" s="27" t="n">
        <f aca="false">IF($B307="","",IFERROR(INDEX('Liste des ingrédients'!$H$5:$H$98,MATCH($B307,'Liste des ingrédients'!$B$5:$B$98,0)),0))</f>
        <v>1.2</v>
      </c>
      <c r="F307" s="25" t="str">
        <f aca="false">IF($B307="","",IFERROR(INDEX('Liste des ingrédients'!$G$5:$G$98,MATCH($B307,'Liste des ingrédients'!$B$5:$B$98,0)),"?"))</f>
        <v>kg</v>
      </c>
      <c r="G307" s="27" t="n">
        <f aca="false">IF(OR($B307="",$C307=""),0,IFERROR($C307*E307/IF(OR(F307="kg",F307="L"),1000,1),0))</f>
        <v>0.24</v>
      </c>
      <c r="H307" s="25" t="str">
        <f aca="false">IF(AND($A307&lt;&gt;"",$A307='Fiche plat'!$C$3),COUNTIF($A$5:$A307,'Fiche plat'!$C$3),"")</f>
        <v/>
      </c>
      <c r="I307" s="0" t="str">
        <f aca="false">IF($A307="","",IFERROR(INDEX(Plats!$D$5:$D$48,MATCH($A307,Plats!$I$5:$I$48,0)),""))</f>
        <v>Oui</v>
      </c>
    </row>
    <row r="308" customFormat="false" ht="15" hidden="false" customHeight="false" outlineLevel="0" collapsed="false">
      <c r="A308" s="25" t="s">
        <v>168</v>
      </c>
      <c r="B308" s="25" t="s">
        <v>108</v>
      </c>
      <c r="C308" s="34" t="n">
        <v>400</v>
      </c>
      <c r="D308" s="25" t="str">
        <f aca="false">IF($B308="","",IF(F308="kg","g",IF(F308="L","ml",F308)))</f>
        <v>g</v>
      </c>
      <c r="E308" s="27" t="n">
        <f aca="false">IF($B308="","",IFERROR(INDEX('Liste des ingrédients'!$H$5:$H$98,MATCH($B308,'Liste des ingrédients'!$B$5:$B$98,0)),0))</f>
        <v>2</v>
      </c>
      <c r="F308" s="25" t="str">
        <f aca="false">IF($B308="","",IFERROR(INDEX('Liste des ingrédients'!$G$5:$G$98,MATCH($B308,'Liste des ingrédients'!$B$5:$B$98,0)),"?"))</f>
        <v>kg</v>
      </c>
      <c r="G308" s="27" t="n">
        <f aca="false">IF(OR($B308="",$C308=""),0,IFERROR($C308*E308/IF(OR(F308="kg",F308="L"),1000,1),0))</f>
        <v>0.8</v>
      </c>
      <c r="H308" s="25" t="str">
        <f aca="false">IF(AND($A308&lt;&gt;"",$A308='Fiche plat'!$C$3),COUNTIF($A$5:$A308,'Fiche plat'!$C$3),"")</f>
        <v/>
      </c>
      <c r="I308" s="0" t="str">
        <f aca="false">IF($A308="","",IFERROR(INDEX(Plats!$D$5:$D$48,MATCH($A308,Plats!$I$5:$I$48,0)),""))</f>
        <v>Oui</v>
      </c>
    </row>
    <row r="309" customFormat="false" ht="15" hidden="false" customHeight="false" outlineLevel="0" collapsed="false">
      <c r="A309" s="25" t="s">
        <v>168</v>
      </c>
      <c r="B309" s="25" t="s">
        <v>94</v>
      </c>
      <c r="C309" s="34" t="n">
        <v>120</v>
      </c>
      <c r="D309" s="25" t="str">
        <f aca="false">IF($B309="","",IF(F309="kg","g",IF(F309="L","ml",F309)))</f>
        <v>g</v>
      </c>
      <c r="E309" s="27" t="n">
        <f aca="false">IF($B309="","",IFERROR(INDEX('Liste des ingrédients'!$H$5:$H$98,MATCH($B309,'Liste des ingrédients'!$B$5:$B$98,0)),0))</f>
        <v>2.5</v>
      </c>
      <c r="F309" s="25" t="str">
        <f aca="false">IF($B309="","",IFERROR(INDEX('Liste des ingrédients'!$G$5:$G$98,MATCH($B309,'Liste des ingrédients'!$B$5:$B$98,0)),"?"))</f>
        <v>kg</v>
      </c>
      <c r="G309" s="27" t="n">
        <f aca="false">IF(OR($B309="",$C309=""),0,IFERROR($C309*E309/IF(OR(F309="kg",F309="L"),1000,1),0))</f>
        <v>0.3</v>
      </c>
      <c r="H309" s="25" t="str">
        <f aca="false">IF(AND($A309&lt;&gt;"",$A309='Fiche plat'!$C$3),COUNTIF($A$5:$A309,'Fiche plat'!$C$3),"")</f>
        <v/>
      </c>
      <c r="I309" s="0" t="str">
        <f aca="false">IF($A309="","",IFERROR(INDEX(Plats!$D$5:$D$48,MATCH($A309,Plats!$I$5:$I$48,0)),""))</f>
        <v>Oui</v>
      </c>
    </row>
    <row r="310" customFormat="false" ht="15" hidden="false" customHeight="false" outlineLevel="0" collapsed="false">
      <c r="A310" s="25" t="s">
        <v>168</v>
      </c>
      <c r="B310" s="25" t="s">
        <v>97</v>
      </c>
      <c r="C310" s="34" t="n">
        <v>20</v>
      </c>
      <c r="D310" s="25" t="str">
        <f aca="false">IF($B310="","",IF(F310="kg","g",IF(F310="L","ml",F310)))</f>
        <v>g</v>
      </c>
      <c r="E310" s="27" t="n">
        <f aca="false">IF($B310="","",IFERROR(INDEX('Liste des ingrédients'!$H$5:$H$98,MATCH($B310,'Liste des ingrédients'!$B$5:$B$98,0)),0))</f>
        <v>15</v>
      </c>
      <c r="F310" s="25" t="str">
        <f aca="false">IF($B310="","",IFERROR(INDEX('Liste des ingrédients'!$G$5:$G$98,MATCH($B310,'Liste des ingrédients'!$B$5:$B$98,0)),"?"))</f>
        <v>kg</v>
      </c>
      <c r="G310" s="27" t="n">
        <f aca="false">IF(OR($B310="",$C310=""),0,IFERROR($C310*E310/IF(OR(F310="kg",F310="L"),1000,1),0))</f>
        <v>0.3</v>
      </c>
      <c r="H310" s="25" t="str">
        <f aca="false">IF(AND($A310&lt;&gt;"",$A310='Fiche plat'!$C$3),COUNTIF($A$5:$A310,'Fiche plat'!$C$3),"")</f>
        <v/>
      </c>
      <c r="I310" s="0" t="str">
        <f aca="false">IF($A310="","",IFERROR(INDEX(Plats!$D$5:$D$48,MATCH($A310,Plats!$I$5:$I$48,0)),""))</f>
        <v>Oui</v>
      </c>
    </row>
    <row r="311" customFormat="false" ht="15" hidden="false" customHeight="false" outlineLevel="0" collapsed="false">
      <c r="A311" s="25" t="s">
        <v>168</v>
      </c>
      <c r="B311" s="25" t="s">
        <v>98</v>
      </c>
      <c r="C311" s="34" t="n">
        <v>3</v>
      </c>
      <c r="D311" s="25" t="str">
        <f aca="false">IF($B311="","",IF(F311="kg","g",IF(F311="L","ml",F311)))</f>
        <v>g</v>
      </c>
      <c r="E311" s="27" t="n">
        <f aca="false">IF($B311="","",IFERROR(INDEX('Liste des ingrédients'!$H$5:$H$98,MATCH($B311,'Liste des ingrédients'!$B$5:$B$98,0)),0))</f>
        <v>40</v>
      </c>
      <c r="F311" s="25" t="str">
        <f aca="false">IF($B311="","",IFERROR(INDEX('Liste des ingrédients'!$G$5:$G$98,MATCH($B311,'Liste des ingrédients'!$B$5:$B$98,0)),"?"))</f>
        <v>kg</v>
      </c>
      <c r="G311" s="27" t="n">
        <f aca="false">IF(OR($B311="",$C311=""),0,IFERROR($C311*E311/IF(OR(F311="kg",F311="L"),1000,1),0))</f>
        <v>0.12</v>
      </c>
      <c r="H311" s="25" t="str">
        <f aca="false">IF(AND($A311&lt;&gt;"",$A311='Fiche plat'!$C$3),COUNTIF($A$5:$A311,'Fiche plat'!$C$3),"")</f>
        <v/>
      </c>
      <c r="I311" s="0" t="str">
        <f aca="false">IF($A311="","",IFERROR(INDEX(Plats!$D$5:$D$48,MATCH($A311,Plats!$I$5:$I$48,0)),""))</f>
        <v>Oui</v>
      </c>
    </row>
    <row r="312" customFormat="false" ht="15" hidden="false" customHeight="false" outlineLevel="0" collapsed="false">
      <c r="A312" s="25" t="s">
        <v>168</v>
      </c>
      <c r="B312" s="25" t="s">
        <v>117</v>
      </c>
      <c r="C312" s="34" t="n">
        <v>2.5</v>
      </c>
      <c r="D312" s="25" t="str">
        <f aca="false">IF($B312="","",IF(F312="kg","g",IF(F312="L","ml",F312)))</f>
        <v>g</v>
      </c>
      <c r="E312" s="27" t="n">
        <f aca="false">IF($B312="","",IFERROR(INDEX('Liste des ingrédients'!$H$5:$H$98,MATCH($B312,'Liste des ingrédients'!$B$5:$B$98,0)),0))</f>
        <v>33</v>
      </c>
      <c r="F312" s="25" t="str">
        <f aca="false">IF($B312="","",IFERROR(INDEX('Liste des ingrédients'!$G$5:$G$98,MATCH($B312,'Liste des ingrédients'!$B$5:$B$98,0)),"?"))</f>
        <v>kg</v>
      </c>
      <c r="G312" s="27" t="n">
        <f aca="false">IF(OR($B312="",$C312=""),0,IFERROR($C312*E312/IF(OR(F312="kg",F312="L"),1000,1),0))</f>
        <v>0.0825</v>
      </c>
      <c r="H312" s="25" t="str">
        <f aca="false">IF(AND($A312&lt;&gt;"",$A312='Fiche plat'!$C$3),COUNTIF($A$5:$A312,'Fiche plat'!$C$3),"")</f>
        <v/>
      </c>
      <c r="I312" s="0" t="str">
        <f aca="false">IF($A312="","",IFERROR(INDEX(Plats!$D$5:$D$48,MATCH($A312,Plats!$I$5:$I$48,0)),""))</f>
        <v>Oui</v>
      </c>
    </row>
    <row r="313" customFormat="false" ht="15" hidden="false" customHeight="false" outlineLevel="0" collapsed="false">
      <c r="A313" s="25" t="s">
        <v>168</v>
      </c>
      <c r="B313" s="25" t="s">
        <v>169</v>
      </c>
      <c r="C313" s="34" t="n">
        <v>1</v>
      </c>
      <c r="D313" s="25" t="str">
        <f aca="false">IF($B313="","",IF(F313="kg","g",IF(F313="L","ml",F313)))</f>
        <v>botte</v>
      </c>
      <c r="E313" s="27" t="n">
        <f aca="false">IF($B313="","",IFERROR(INDEX('Liste des ingrédients'!$H$5:$H$98,MATCH($B313,'Liste des ingrédients'!$B$5:$B$98,0)),0))</f>
        <v>1</v>
      </c>
      <c r="F313" s="25" t="str">
        <f aca="false">IF($B313="","",IFERROR(INDEX('Liste des ingrédients'!$G$5:$G$98,MATCH($B313,'Liste des ingrédients'!$B$5:$B$98,0)),"?"))</f>
        <v>botte</v>
      </c>
      <c r="G313" s="27" t="n">
        <f aca="false">IF(OR($B313="",$C313=""),0,IFERROR($C313*E313/IF(OR(F313="kg",F313="L"),1000,1),0))</f>
        <v>1</v>
      </c>
      <c r="H313" s="25" t="str">
        <f aca="false">IF(AND($A313&lt;&gt;"",$A313='Fiche plat'!$C$3),COUNTIF($A$5:$A313,'Fiche plat'!$C$3),"")</f>
        <v/>
      </c>
      <c r="I313" s="0" t="str">
        <f aca="false">IF($A313="","",IFERROR(INDEX(Plats!$D$5:$D$48,MATCH($A313,Plats!$I$5:$I$48,0)),""))</f>
        <v>Oui</v>
      </c>
    </row>
    <row r="314" customFormat="false" ht="15" hidden="false" customHeight="false" outlineLevel="0" collapsed="false">
      <c r="A314" s="25" t="s">
        <v>168</v>
      </c>
      <c r="B314" s="25" t="s">
        <v>104</v>
      </c>
      <c r="C314" s="34" t="n">
        <v>100</v>
      </c>
      <c r="D314" s="25" t="str">
        <f aca="false">IF($B314="","",IF(F314="kg","g",IF(F314="L","ml",F314)))</f>
        <v>g</v>
      </c>
      <c r="E314" s="27" t="n">
        <f aca="false">IF($B314="","",IFERROR(INDEX('Liste des ingrédients'!$H$5:$H$98,MATCH($B314,'Liste des ingrédients'!$B$5:$B$98,0)),0))</f>
        <v>3</v>
      </c>
      <c r="F314" s="25" t="str">
        <f aca="false">IF($B314="","",IFERROR(INDEX('Liste des ingrédients'!$G$5:$G$98,MATCH($B314,'Liste des ingrédients'!$B$5:$B$98,0)),"?"))</f>
        <v>kg</v>
      </c>
      <c r="G314" s="27" t="n">
        <f aca="false">IF(OR($B314="",$C314=""),0,IFERROR($C314*E314/IF(OR(F314="kg",F314="L"),1000,1),0))</f>
        <v>0.3</v>
      </c>
      <c r="H314" s="25" t="str">
        <f aca="false">IF(AND($A314&lt;&gt;"",$A314='Fiche plat'!$C$3),COUNTIF($A$5:$A314,'Fiche plat'!$C$3),"")</f>
        <v/>
      </c>
      <c r="I314" s="0" t="str">
        <f aca="false">IF($A314="","",IFERROR(INDEX(Plats!$D$5:$D$48,MATCH($A314,Plats!$I$5:$I$48,0)),""))</f>
        <v>Oui</v>
      </c>
    </row>
    <row r="315" customFormat="false" ht="15" hidden="false" customHeight="false" outlineLevel="0" collapsed="false">
      <c r="A315" s="25" t="s">
        <v>168</v>
      </c>
      <c r="B315" s="25" t="s">
        <v>101</v>
      </c>
      <c r="C315" s="34" t="n">
        <v>90</v>
      </c>
      <c r="D315" s="25" t="str">
        <f aca="false">IF($B315="","",IF(F315="kg","g",IF(F315="L","ml",F315)))</f>
        <v>ml</v>
      </c>
      <c r="E315" s="27" t="n">
        <f aca="false">IF($B315="","",IFERROR(INDEX('Liste des ingrédients'!$H$5:$H$98,MATCH($B315,'Liste des ingrédients'!$B$5:$B$98,0)),0))</f>
        <v>12.5</v>
      </c>
      <c r="F315" s="25" t="str">
        <f aca="false">IF($B315="","",IFERROR(INDEX('Liste des ingrédients'!$G$5:$G$98,MATCH($B315,'Liste des ingrédients'!$B$5:$B$98,0)),"?"))</f>
        <v>L</v>
      </c>
      <c r="G315" s="27" t="n">
        <f aca="false">IF(OR($B315="",$C315=""),0,IFERROR($C315*E315/IF(OR(F315="kg",F315="L"),1000,1),0))</f>
        <v>1.125</v>
      </c>
      <c r="H315" s="25" t="str">
        <f aca="false">IF(AND($A315&lt;&gt;"",$A315='Fiche plat'!$C$3),COUNTIF($A$5:$A315,'Fiche plat'!$C$3),"")</f>
        <v/>
      </c>
      <c r="I315" s="0" t="str">
        <f aca="false">IF($A315="","",IFERROR(INDEX(Plats!$D$5:$D$48,MATCH($A315,Plats!$I$5:$I$48,0)),""))</f>
        <v>Oui</v>
      </c>
    </row>
    <row r="316" customFormat="false" ht="15" hidden="false" customHeight="false" outlineLevel="0" collapsed="false">
      <c r="A316" s="25" t="s">
        <v>168</v>
      </c>
      <c r="B316" s="25" t="s">
        <v>102</v>
      </c>
      <c r="C316" s="34" t="n">
        <v>9</v>
      </c>
      <c r="D316" s="25" t="str">
        <f aca="false">IF($B316="","",IF(F316="kg","g",IF(F316="L","ml",F316)))</f>
        <v>g</v>
      </c>
      <c r="E316" s="27" t="n">
        <f aca="false">IF($B316="","",IFERROR(INDEX('Liste des ingrédients'!$H$5:$H$98,MATCH($B316,'Liste des ingrédients'!$B$5:$B$98,0)),0))</f>
        <v>0.8</v>
      </c>
      <c r="F316" s="25" t="str">
        <f aca="false">IF($B316="","",IFERROR(INDEX('Liste des ingrédients'!$G$5:$G$98,MATCH($B316,'Liste des ingrédients'!$B$5:$B$98,0)),"?"))</f>
        <v>kg</v>
      </c>
      <c r="G316" s="27" t="n">
        <f aca="false">IF(OR($B316="",$C316=""),0,IFERROR($C316*E316/IF(OR(F316="kg",F316="L"),1000,1),0))</f>
        <v>0.0072</v>
      </c>
      <c r="H316" s="25" t="str">
        <f aca="false">IF(AND($A316&lt;&gt;"",$A316='Fiche plat'!$C$3),COUNTIF($A$5:$A316,'Fiche plat'!$C$3),"")</f>
        <v/>
      </c>
      <c r="I316" s="0" t="str">
        <f aca="false">IF($A316="","",IFERROR(INDEX(Plats!$D$5:$D$48,MATCH($A316,Plats!$I$5:$I$48,0)),""))</f>
        <v>Oui</v>
      </c>
    </row>
    <row r="317" customFormat="false" ht="15" hidden="false" customHeight="false" outlineLevel="0" collapsed="false">
      <c r="A317" s="25" t="s">
        <v>168</v>
      </c>
      <c r="B317" s="25" t="s">
        <v>103</v>
      </c>
      <c r="C317" s="34" t="n">
        <v>2.5</v>
      </c>
      <c r="D317" s="25" t="str">
        <f aca="false">IF($B317="","",IF(F317="kg","g",IF(F317="L","ml",F317)))</f>
        <v>g</v>
      </c>
      <c r="E317" s="27" t="n">
        <f aca="false">IF($B317="","",IFERROR(INDEX('Liste des ingrédients'!$H$5:$H$98,MATCH($B317,'Liste des ingrédients'!$B$5:$B$98,0)),0))</f>
        <v>50</v>
      </c>
      <c r="F317" s="25" t="str">
        <f aca="false">IF($B317="","",IFERROR(INDEX('Liste des ingrédients'!$G$5:$G$98,MATCH($B317,'Liste des ingrédients'!$B$5:$B$98,0)),"?"))</f>
        <v>kg</v>
      </c>
      <c r="G317" s="27" t="n">
        <f aca="false">IF(OR($B317="",$C317=""),0,IFERROR($C317*E317/IF(OR(F317="kg",F317="L"),1000,1),0))</f>
        <v>0.125</v>
      </c>
      <c r="H317" s="25" t="str">
        <f aca="false">IF(AND($A317&lt;&gt;"",$A317='Fiche plat'!$C$3),COUNTIF($A$5:$A317,'Fiche plat'!$C$3),"")</f>
        <v/>
      </c>
      <c r="I317" s="0" t="str">
        <f aca="false">IF($A317="","",IFERROR(INDEX(Plats!$D$5:$D$48,MATCH($A317,Plats!$I$5:$I$48,0)),""))</f>
        <v>Oui</v>
      </c>
    </row>
    <row r="318" customFormat="false" ht="15" hidden="false" customHeight="false" outlineLevel="0" collapsed="false">
      <c r="A318" s="22" t="s">
        <v>170</v>
      </c>
      <c r="B318" s="22" t="s">
        <v>108</v>
      </c>
      <c r="C318" s="35" t="n">
        <v>500</v>
      </c>
      <c r="D318" s="22" t="str">
        <f aca="false">IF($B318="","",IF(F318="kg","g",IF(F318="L","ml",F318)))</f>
        <v>g</v>
      </c>
      <c r="E318" s="24" t="n">
        <f aca="false">IF($B318="","",IFERROR(INDEX('Liste des ingrédients'!$H$5:$H$98,MATCH($B318,'Liste des ingrédients'!$B$5:$B$98,0)),0))</f>
        <v>2</v>
      </c>
      <c r="F318" s="22" t="str">
        <f aca="false">IF($B318="","",IFERROR(INDEX('Liste des ingrédients'!$G$5:$G$98,MATCH($B318,'Liste des ingrédients'!$B$5:$B$98,0)),"?"))</f>
        <v>kg</v>
      </c>
      <c r="G318" s="24" t="n">
        <f aca="false">IF(OR($B318="",$C318=""),0,IFERROR($C318*E318/IF(OR(F318="kg",F318="L"),1000,1),0))</f>
        <v>1</v>
      </c>
      <c r="H318" s="22" t="str">
        <f aca="false">IF(AND($A318&lt;&gt;"",$A318='Fiche plat'!$C$3),COUNTIF($A$5:$A318,'Fiche plat'!$C$3),"")</f>
        <v/>
      </c>
      <c r="I318" s="0" t="str">
        <f aca="false">IF($A318="","",IFERROR(INDEX(Plats!$D$5:$D$48,MATCH($A318,Plats!$I$5:$I$48,0)),""))</f>
        <v>Oui</v>
      </c>
    </row>
    <row r="319" customFormat="false" ht="15" hidden="false" customHeight="false" outlineLevel="0" collapsed="false">
      <c r="A319" s="22" t="s">
        <v>170</v>
      </c>
      <c r="B319" s="22" t="s">
        <v>139</v>
      </c>
      <c r="C319" s="35" t="n">
        <v>400</v>
      </c>
      <c r="D319" s="22" t="str">
        <f aca="false">IF($B319="","",IF(F319="kg","g",IF(F319="L","ml",F319)))</f>
        <v>g</v>
      </c>
      <c r="E319" s="24" t="n">
        <f aca="false">IF($B319="","",IFERROR(INDEX('Liste des ingrédients'!$H$5:$H$98,MATCH($B319,'Liste des ingrédients'!$B$5:$B$98,0)),0))</f>
        <v>2.5</v>
      </c>
      <c r="F319" s="22" t="str">
        <f aca="false">IF($B319="","",IFERROR(INDEX('Liste des ingrédients'!$G$5:$G$98,MATCH($B319,'Liste des ingrédients'!$B$5:$B$98,0)),"?"))</f>
        <v>kg</v>
      </c>
      <c r="G319" s="24" t="n">
        <f aca="false">IF(OR($B319="",$C319=""),0,IFERROR($C319*E319/IF(OR(F319="kg",F319="L"),1000,1),0))</f>
        <v>1</v>
      </c>
      <c r="H319" s="22" t="str">
        <f aca="false">IF(AND($A319&lt;&gt;"",$A319='Fiche plat'!$C$3),COUNTIF($A$5:$A319,'Fiche plat'!$C$3),"")</f>
        <v/>
      </c>
      <c r="I319" s="0" t="str">
        <f aca="false">IF($A319="","",IFERROR(INDEX(Plats!$D$5:$D$48,MATCH($A319,Plats!$I$5:$I$48,0)),""))</f>
        <v>Oui</v>
      </c>
    </row>
    <row r="320" customFormat="false" ht="15" hidden="false" customHeight="false" outlineLevel="0" collapsed="false">
      <c r="A320" s="22" t="s">
        <v>170</v>
      </c>
      <c r="B320" s="22" t="s">
        <v>93</v>
      </c>
      <c r="C320" s="35" t="n">
        <v>130</v>
      </c>
      <c r="D320" s="22" t="str">
        <f aca="false">IF($B320="","",IF(F320="kg","g",IF(F320="L","ml",F320)))</f>
        <v>g</v>
      </c>
      <c r="E320" s="24" t="n">
        <f aca="false">IF($B320="","",IFERROR(INDEX('Liste des ingrédients'!$H$5:$H$98,MATCH($B320,'Liste des ingrédients'!$B$5:$B$98,0)),0))</f>
        <v>1.2</v>
      </c>
      <c r="F320" s="22" t="str">
        <f aca="false">IF($B320="","",IFERROR(INDEX('Liste des ingrédients'!$G$5:$G$98,MATCH($B320,'Liste des ingrédients'!$B$5:$B$98,0)),"?"))</f>
        <v>kg</v>
      </c>
      <c r="G320" s="24" t="n">
        <f aca="false">IF(OR($B320="",$C320=""),0,IFERROR($C320*E320/IF(OR(F320="kg",F320="L"),1000,1),0))</f>
        <v>0.156</v>
      </c>
      <c r="H320" s="22" t="str">
        <f aca="false">IF(AND($A320&lt;&gt;"",$A320='Fiche plat'!$C$3),COUNTIF($A$5:$A320,'Fiche plat'!$C$3),"")</f>
        <v/>
      </c>
      <c r="I320" s="0" t="str">
        <f aca="false">IF($A320="","",IFERROR(INDEX(Plats!$D$5:$D$48,MATCH($A320,Plats!$I$5:$I$48,0)),""))</f>
        <v>Oui</v>
      </c>
    </row>
    <row r="321" customFormat="false" ht="15" hidden="false" customHeight="false" outlineLevel="0" collapsed="false">
      <c r="A321" s="22" t="s">
        <v>170</v>
      </c>
      <c r="B321" s="22" t="s">
        <v>109</v>
      </c>
      <c r="C321" s="35" t="n">
        <v>1</v>
      </c>
      <c r="D321" s="22" t="str">
        <f aca="false">IF($B321="","",IF(F321="kg","g",IF(F321="L","ml",F321)))</f>
        <v>boîte</v>
      </c>
      <c r="E321" s="24" t="n">
        <f aca="false">IF($B321="","",IFERROR(INDEX('Liste des ingrédients'!$H$5:$H$98,MATCH($B321,'Liste des ingrédients'!$B$5:$B$98,0)),0))</f>
        <v>4.5</v>
      </c>
      <c r="F321" s="22" t="str">
        <f aca="false">IF($B321="","",IFERROR(INDEX('Liste des ingrédients'!$G$5:$G$98,MATCH($B321,'Liste des ingrédients'!$B$5:$B$98,0)),"?"))</f>
        <v>boîte</v>
      </c>
      <c r="G321" s="24" t="n">
        <f aca="false">IF(OR($B321="",$C321=""),0,IFERROR($C321*E321/IF(OR(F321="kg",F321="L"),1000,1),0))</f>
        <v>4.5</v>
      </c>
      <c r="H321" s="22" t="str">
        <f aca="false">IF(AND($A321&lt;&gt;"",$A321='Fiche plat'!$C$3),COUNTIF($A$5:$A321,'Fiche plat'!$C$3),"")</f>
        <v/>
      </c>
      <c r="I321" s="0" t="str">
        <f aca="false">IF($A321="","",IFERROR(INDEX(Plats!$D$5:$D$48,MATCH($A321,Plats!$I$5:$I$48,0)),""))</f>
        <v>Oui</v>
      </c>
    </row>
    <row r="322" customFormat="false" ht="15" hidden="false" customHeight="false" outlineLevel="0" collapsed="false">
      <c r="A322" s="22" t="s">
        <v>170</v>
      </c>
      <c r="B322" s="22" t="s">
        <v>110</v>
      </c>
      <c r="C322" s="35" t="n">
        <v>6</v>
      </c>
      <c r="D322" s="22" t="str">
        <f aca="false">IF($B322="","",IF(F322="kg","g",IF(F322="L","ml",F322)))</f>
        <v>œuf</v>
      </c>
      <c r="E322" s="24" t="n">
        <f aca="false">IF($B322="","",IFERROR(INDEX('Liste des ingrédients'!$H$5:$H$98,MATCH($B322,'Liste des ingrédients'!$B$5:$B$98,0)),0))</f>
        <v>0.3</v>
      </c>
      <c r="F322" s="22" t="str">
        <f aca="false">IF($B322="","",IFERROR(INDEX('Liste des ingrédients'!$G$5:$G$98,MATCH($B322,'Liste des ingrédients'!$B$5:$B$98,0)),"?"))</f>
        <v>œuf</v>
      </c>
      <c r="G322" s="24" t="n">
        <f aca="false">IF(OR($B322="",$C322=""),0,IFERROR($C322*E322/IF(OR(F322="kg",F322="L"),1000,1),0))</f>
        <v>1.8</v>
      </c>
      <c r="H322" s="22" t="str">
        <f aca="false">IF(AND($A322&lt;&gt;"",$A322='Fiche plat'!$C$3),COUNTIF($A$5:$A322,'Fiche plat'!$C$3),"")</f>
        <v/>
      </c>
      <c r="I322" s="0" t="str">
        <f aca="false">IF($A322="","",IFERROR(INDEX(Plats!$D$5:$D$48,MATCH($A322,Plats!$I$5:$I$48,0)),""))</f>
        <v>Oui</v>
      </c>
    </row>
    <row r="323" customFormat="false" ht="15" hidden="false" customHeight="false" outlineLevel="0" collapsed="false">
      <c r="A323" s="22" t="s">
        <v>170</v>
      </c>
      <c r="B323" s="22" t="s">
        <v>125</v>
      </c>
      <c r="C323" s="35" t="n">
        <v>1</v>
      </c>
      <c r="D323" s="22" t="str">
        <f aca="false">IF($B323="","",IF(F323="kg","g",IF(F323="L","ml",F323)))</f>
        <v>g</v>
      </c>
      <c r="E323" s="24" t="n">
        <f aca="false">IF($B323="","",IFERROR(INDEX('Liste des ingrédients'!$H$5:$H$98,MATCH($B323,'Liste des ingrédients'!$B$5:$B$98,0)),0))</f>
        <v>50</v>
      </c>
      <c r="F323" s="22" t="str">
        <f aca="false">IF($B323="","",IFERROR(INDEX('Liste des ingrédients'!$G$5:$G$98,MATCH($B323,'Liste des ingrédients'!$B$5:$B$98,0)),"?"))</f>
        <v>kg</v>
      </c>
      <c r="G323" s="24" t="n">
        <f aca="false">IF(OR($B323="",$C323=""),0,IFERROR($C323*E323/IF(OR(F323="kg",F323="L"),1000,1),0))</f>
        <v>0.05</v>
      </c>
      <c r="H323" s="22" t="str">
        <f aca="false">IF(AND($A323&lt;&gt;"",$A323='Fiche plat'!$C$3),COUNTIF($A$5:$A323,'Fiche plat'!$C$3),"")</f>
        <v/>
      </c>
      <c r="I323" s="0" t="str">
        <f aca="false">IF($A323="","",IFERROR(INDEX(Plats!$D$5:$D$48,MATCH($A323,Plats!$I$5:$I$48,0)),""))</f>
        <v>Oui</v>
      </c>
    </row>
    <row r="324" customFormat="false" ht="15" hidden="false" customHeight="false" outlineLevel="0" collapsed="false">
      <c r="A324" s="22" t="s">
        <v>170</v>
      </c>
      <c r="B324" s="22" t="s">
        <v>101</v>
      </c>
      <c r="C324" s="35" t="n">
        <v>60</v>
      </c>
      <c r="D324" s="22" t="str">
        <f aca="false">IF($B324="","",IF(F324="kg","g",IF(F324="L","ml",F324)))</f>
        <v>ml</v>
      </c>
      <c r="E324" s="24" t="n">
        <f aca="false">IF($B324="","",IFERROR(INDEX('Liste des ingrédients'!$H$5:$H$98,MATCH($B324,'Liste des ingrédients'!$B$5:$B$98,0)),0))</f>
        <v>12.5</v>
      </c>
      <c r="F324" s="22" t="str">
        <f aca="false">IF($B324="","",IFERROR(INDEX('Liste des ingrédients'!$G$5:$G$98,MATCH($B324,'Liste des ingrédients'!$B$5:$B$98,0)),"?"))</f>
        <v>L</v>
      </c>
      <c r="G324" s="24" t="n">
        <f aca="false">IF(OR($B324="",$C324=""),0,IFERROR($C324*E324/IF(OR(F324="kg",F324="L"),1000,1),0))</f>
        <v>0.75</v>
      </c>
      <c r="H324" s="22" t="str">
        <f aca="false">IF(AND($A324&lt;&gt;"",$A324='Fiche plat'!$C$3),COUNTIF($A$5:$A324,'Fiche plat'!$C$3),"")</f>
        <v/>
      </c>
      <c r="I324" s="0" t="str">
        <f aca="false">IF($A324="","",IFERROR(INDEX(Plats!$D$5:$D$48,MATCH($A324,Plats!$I$5:$I$48,0)),""))</f>
        <v>Oui</v>
      </c>
    </row>
    <row r="325" customFormat="false" ht="15" hidden="false" customHeight="false" outlineLevel="0" collapsed="false">
      <c r="A325" s="22" t="s">
        <v>170</v>
      </c>
      <c r="B325" s="22" t="s">
        <v>104</v>
      </c>
      <c r="C325" s="35" t="n">
        <v>100</v>
      </c>
      <c r="D325" s="22" t="str">
        <f aca="false">IF($B325="","",IF(F325="kg","g",IF(F325="L","ml",F325)))</f>
        <v>g</v>
      </c>
      <c r="E325" s="24" t="n">
        <f aca="false">IF($B325="","",IFERROR(INDEX('Liste des ingrédients'!$H$5:$H$98,MATCH($B325,'Liste des ingrédients'!$B$5:$B$98,0)),0))</f>
        <v>3</v>
      </c>
      <c r="F325" s="22" t="str">
        <f aca="false">IF($B325="","",IFERROR(INDEX('Liste des ingrédients'!$G$5:$G$98,MATCH($B325,'Liste des ingrédients'!$B$5:$B$98,0)),"?"))</f>
        <v>kg</v>
      </c>
      <c r="G325" s="24" t="n">
        <f aca="false">IF(OR($B325="",$C325=""),0,IFERROR($C325*E325/IF(OR(F325="kg",F325="L"),1000,1),0))</f>
        <v>0.3</v>
      </c>
      <c r="H325" s="22" t="str">
        <f aca="false">IF(AND($A325&lt;&gt;"",$A325='Fiche plat'!$C$3),COUNTIF($A$5:$A325,'Fiche plat'!$C$3),"")</f>
        <v/>
      </c>
      <c r="I325" s="0" t="str">
        <f aca="false">IF($A325="","",IFERROR(INDEX(Plats!$D$5:$D$48,MATCH($A325,Plats!$I$5:$I$48,0)),""))</f>
        <v>Oui</v>
      </c>
    </row>
    <row r="326" customFormat="false" ht="15" hidden="false" customHeight="false" outlineLevel="0" collapsed="false">
      <c r="A326" s="22" t="s">
        <v>170</v>
      </c>
      <c r="B326" s="22" t="s">
        <v>102</v>
      </c>
      <c r="C326" s="35" t="n">
        <v>6</v>
      </c>
      <c r="D326" s="22" t="str">
        <f aca="false">IF($B326="","",IF(F326="kg","g",IF(F326="L","ml",F326)))</f>
        <v>g</v>
      </c>
      <c r="E326" s="24" t="n">
        <f aca="false">IF($B326="","",IFERROR(INDEX('Liste des ingrédients'!$H$5:$H$98,MATCH($B326,'Liste des ingrédients'!$B$5:$B$98,0)),0))</f>
        <v>0.8</v>
      </c>
      <c r="F326" s="22" t="str">
        <f aca="false">IF($B326="","",IFERROR(INDEX('Liste des ingrédients'!$G$5:$G$98,MATCH($B326,'Liste des ingrédients'!$B$5:$B$98,0)),"?"))</f>
        <v>kg</v>
      </c>
      <c r="G326" s="24" t="n">
        <f aca="false">IF(OR($B326="",$C326=""),0,IFERROR($C326*E326/IF(OR(F326="kg",F326="L"),1000,1),0))</f>
        <v>0.0048</v>
      </c>
      <c r="H326" s="22" t="str">
        <f aca="false">IF(AND($A326&lt;&gt;"",$A326='Fiche plat'!$C$3),COUNTIF($A$5:$A326,'Fiche plat'!$C$3),"")</f>
        <v/>
      </c>
      <c r="I326" s="0" t="str">
        <f aca="false">IF($A326="","",IFERROR(INDEX(Plats!$D$5:$D$48,MATCH($A326,Plats!$I$5:$I$48,0)),""))</f>
        <v>Oui</v>
      </c>
    </row>
    <row r="327" customFormat="false" ht="15" hidden="false" customHeight="false" outlineLevel="0" collapsed="false">
      <c r="A327" s="22" t="s">
        <v>170</v>
      </c>
      <c r="B327" s="22" t="s">
        <v>136</v>
      </c>
      <c r="C327" s="35" t="n">
        <v>0.75</v>
      </c>
      <c r="D327" s="22" t="str">
        <f aca="false">IF($B327="","",IF(F327="kg","g",IF(F327="L","ml",F327)))</f>
        <v>paquet</v>
      </c>
      <c r="E327" s="24" t="n">
        <f aca="false">IF($B327="","",IFERROR(INDEX('Liste des ingrédients'!$H$5:$H$98,MATCH($B327,'Liste des ingrédients'!$B$5:$B$98,0)),0))</f>
        <v>1.5</v>
      </c>
      <c r="F327" s="22" t="str">
        <f aca="false">IF($B327="","",IFERROR(INDEX('Liste des ingrédients'!$G$5:$G$98,MATCH($B327,'Liste des ingrédients'!$B$5:$B$98,0)),"?"))</f>
        <v>paquet</v>
      </c>
      <c r="G327" s="24" t="n">
        <f aca="false">IF(OR($B327="",$C327=""),0,IFERROR($C327*E327/IF(OR(F327="kg",F327="L"),1000,1),0))</f>
        <v>1.125</v>
      </c>
      <c r="H327" s="22" t="str">
        <f aca="false">IF(AND($A327&lt;&gt;"",$A327='Fiche plat'!$C$3),COUNTIF($A$5:$A327,'Fiche plat'!$C$3),"")</f>
        <v/>
      </c>
      <c r="I327" s="0" t="str">
        <f aca="false">IF($A327="","",IFERROR(INDEX(Plats!$D$5:$D$48,MATCH($A327,Plats!$I$5:$I$48,0)),""))</f>
        <v>Oui</v>
      </c>
    </row>
    <row r="328" customFormat="false" ht="15" hidden="false" customHeight="false" outlineLevel="0" collapsed="false">
      <c r="A328" s="22" t="s">
        <v>170</v>
      </c>
      <c r="B328" s="22" t="s">
        <v>116</v>
      </c>
      <c r="C328" s="35" t="n">
        <v>0.17</v>
      </c>
      <c r="D328" s="22" t="str">
        <f aca="false">IF($B328="","",IF(F328="kg","g",IF(F328="L","ml",F328)))</f>
        <v>botte</v>
      </c>
      <c r="E328" s="24" t="n">
        <f aca="false">IF($B328="","",IFERROR(INDEX('Liste des ingrédients'!$H$5:$H$98,MATCH($B328,'Liste des ingrédients'!$B$5:$B$98,0)),0))</f>
        <v>0.8</v>
      </c>
      <c r="F328" s="22" t="str">
        <f aca="false">IF($B328="","",IFERROR(INDEX('Liste des ingrédients'!$G$5:$G$98,MATCH($B328,'Liste des ingrédients'!$B$5:$B$98,0)),"?"))</f>
        <v>botte</v>
      </c>
      <c r="G328" s="24" t="n">
        <f aca="false">IF(OR($B328="",$C328=""),0,IFERROR($C328*E328/IF(OR(F328="kg",F328="L"),1000,1),0))</f>
        <v>0.136</v>
      </c>
      <c r="H328" s="22" t="str">
        <f aca="false">IF(AND($A328&lt;&gt;"",$A328='Fiche plat'!$C$3),COUNTIF($A$5:$A328,'Fiche plat'!$C$3),"")</f>
        <v/>
      </c>
      <c r="I328" s="0" t="str">
        <f aca="false">IF($A328="","",IFERROR(INDEX(Plats!$D$5:$D$48,MATCH($A328,Plats!$I$5:$I$48,0)),""))</f>
        <v>Oui</v>
      </c>
    </row>
    <row r="329" customFormat="false" ht="15" hidden="false" customHeight="false" outlineLevel="0" collapsed="false">
      <c r="A329" s="22" t="s">
        <v>170</v>
      </c>
      <c r="B329" s="22" t="s">
        <v>115</v>
      </c>
      <c r="C329" s="35" t="n">
        <v>60</v>
      </c>
      <c r="D329" s="22" t="str">
        <f aca="false">IF($B329="","",IF(F329="kg","g",IF(F329="L","ml",F329)))</f>
        <v>g</v>
      </c>
      <c r="E329" s="24" t="n">
        <f aca="false">IF($B329="","",IFERROR(INDEX('Liste des ingrédients'!$H$5:$H$98,MATCH($B329,'Liste des ingrédients'!$B$5:$B$98,0)),0))</f>
        <v>30</v>
      </c>
      <c r="F329" s="22" t="str">
        <f aca="false">IF($B329="","",IFERROR(INDEX('Liste des ingrédients'!$G$5:$G$98,MATCH($B329,'Liste des ingrédients'!$B$5:$B$98,0)),"?"))</f>
        <v>kg</v>
      </c>
      <c r="G329" s="24" t="n">
        <f aca="false">IF(OR($B329="",$C329=""),0,IFERROR($C329*E329/IF(OR(F329="kg",F329="L"),1000,1),0))</f>
        <v>1.8</v>
      </c>
      <c r="H329" s="22" t="str">
        <f aca="false">IF(AND($A329&lt;&gt;"",$A329='Fiche plat'!$C$3),COUNTIF($A$5:$A329,'Fiche plat'!$C$3),"")</f>
        <v/>
      </c>
      <c r="I329" s="0" t="str">
        <f aca="false">IF($A329="","",IFERROR(INDEX(Plats!$D$5:$D$48,MATCH($A329,Plats!$I$5:$I$48,0)),""))</f>
        <v>Oui</v>
      </c>
    </row>
    <row r="330" customFormat="false" ht="15" hidden="false" customHeight="false" outlineLevel="0" collapsed="false">
      <c r="A330" s="22" t="s">
        <v>170</v>
      </c>
      <c r="B330" s="22" t="s">
        <v>118</v>
      </c>
      <c r="C330" s="35" t="n">
        <v>500</v>
      </c>
      <c r="D330" s="22" t="str">
        <f aca="false">IF($B330="","",IF(F330="kg","g",IF(F330="L","ml",F330)))</f>
        <v>ml</v>
      </c>
      <c r="E330" s="24" t="n">
        <f aca="false">IF($B330="","",IFERROR(INDEX('Liste des ingrédients'!$H$5:$H$98,MATCH($B330,'Liste des ingrédients'!$B$5:$B$98,0)),0))</f>
        <v>6</v>
      </c>
      <c r="F330" s="22" t="str">
        <f aca="false">IF($B330="","",IFERROR(INDEX('Liste des ingrédients'!$G$5:$G$98,MATCH($B330,'Liste des ingrédients'!$B$5:$B$98,0)),"?"))</f>
        <v>L</v>
      </c>
      <c r="G330" s="24" t="n">
        <f aca="false">IF(OR($B330="",$C330=""),0,IFERROR($C330*E330/IF(OR(F330="kg",F330="L"),1000,1),0))</f>
        <v>3</v>
      </c>
      <c r="H330" s="22" t="str">
        <f aca="false">IF(AND($A330&lt;&gt;"",$A330='Fiche plat'!$C$3),COUNTIF($A$5:$A330,'Fiche plat'!$C$3),"")</f>
        <v/>
      </c>
      <c r="I330" s="0" t="str">
        <f aca="false">IF($A330="","",IFERROR(INDEX(Plats!$D$5:$D$48,MATCH($A330,Plats!$I$5:$I$48,0)),""))</f>
        <v>Oui</v>
      </c>
    </row>
    <row r="331" customFormat="false" ht="15" hidden="false" customHeight="false" outlineLevel="0" collapsed="false">
      <c r="A331" s="25" t="s">
        <v>171</v>
      </c>
      <c r="B331" s="25" t="s">
        <v>172</v>
      </c>
      <c r="C331" s="34" t="n">
        <v>600</v>
      </c>
      <c r="D331" s="25" t="str">
        <f aca="false">IF($B331="","",IF(F331="kg","g",IF(F331="L","ml",F331)))</f>
        <v>g</v>
      </c>
      <c r="E331" s="27" t="n">
        <f aca="false">IF($B331="","",IFERROR(INDEX('Liste des ingrédients'!$H$5:$H$98,MATCH($B331,'Liste des ingrédients'!$B$5:$B$98,0)),0))</f>
        <v>18</v>
      </c>
      <c r="F331" s="25" t="str">
        <f aca="false">IF($B331="","",IFERROR(INDEX('Liste des ingrédients'!$G$5:$G$98,MATCH($B331,'Liste des ingrédients'!$B$5:$B$98,0)),"?"))</f>
        <v>kg</v>
      </c>
      <c r="G331" s="27" t="n">
        <f aca="false">IF(OR($B331="",$C331=""),0,IFERROR($C331*E331/IF(OR(F331="kg",F331="L"),1000,1),0))</f>
        <v>10.8</v>
      </c>
      <c r="H331" s="25" t="str">
        <f aca="false">IF(AND($A331&lt;&gt;"",$A331='Fiche plat'!$C$3),COUNTIF($A$5:$A331,'Fiche plat'!$C$3),"")</f>
        <v/>
      </c>
      <c r="I331" s="0" t="str">
        <f aca="false">IF($A331="","",IFERROR(INDEX(Plats!$D$5:$D$48,MATCH($A331,Plats!$I$5:$I$48,0)),""))</f>
        <v>Oui</v>
      </c>
    </row>
    <row r="332" customFormat="false" ht="15" hidden="false" customHeight="false" outlineLevel="0" collapsed="false">
      <c r="A332" s="25" t="s">
        <v>171</v>
      </c>
      <c r="B332" s="25" t="s">
        <v>160</v>
      </c>
      <c r="C332" s="34" t="n">
        <v>40</v>
      </c>
      <c r="D332" s="25" t="str">
        <f aca="false">IF($B332="","",IF(F332="kg","g",IF(F332="L","ml",F332)))</f>
        <v>g</v>
      </c>
      <c r="E332" s="27" t="n">
        <f aca="false">IF($B332="","",IFERROR(INDEX('Liste des ingrédients'!$H$5:$H$98,MATCH($B332,'Liste des ingrédients'!$B$5:$B$98,0)),0))</f>
        <v>8</v>
      </c>
      <c r="F332" s="25" t="str">
        <f aca="false">IF($B332="","",IFERROR(INDEX('Liste des ingrédients'!$G$5:$G$98,MATCH($B332,'Liste des ingrédients'!$B$5:$B$98,0)),"?"))</f>
        <v>kg</v>
      </c>
      <c r="G332" s="27" t="n">
        <f aca="false">IF(OR($B332="",$C332=""),0,IFERROR($C332*E332/IF(OR(F332="kg",F332="L"),1000,1),0))</f>
        <v>0.32</v>
      </c>
      <c r="H332" s="25" t="str">
        <f aca="false">IF(AND($A332&lt;&gt;"",$A332='Fiche plat'!$C$3),COUNTIF($A$5:$A332,'Fiche plat'!$C$3),"")</f>
        <v/>
      </c>
      <c r="I332" s="0" t="str">
        <f aca="false">IF($A332="","",IFERROR(INDEX(Plats!$D$5:$D$48,MATCH($A332,Plats!$I$5:$I$48,0)),""))</f>
        <v>Oui</v>
      </c>
    </row>
    <row r="333" customFormat="false" ht="15" hidden="false" customHeight="false" outlineLevel="0" collapsed="false">
      <c r="A333" s="25" t="s">
        <v>171</v>
      </c>
      <c r="B333" s="25" t="s">
        <v>110</v>
      </c>
      <c r="C333" s="34" t="n">
        <v>1</v>
      </c>
      <c r="D333" s="25" t="str">
        <f aca="false">IF($B333="","",IF(F333="kg","g",IF(F333="L","ml",F333)))</f>
        <v>œuf</v>
      </c>
      <c r="E333" s="27" t="n">
        <f aca="false">IF($B333="","",IFERROR(INDEX('Liste des ingrédients'!$H$5:$H$98,MATCH($B333,'Liste des ingrédients'!$B$5:$B$98,0)),0))</f>
        <v>0.3</v>
      </c>
      <c r="F333" s="25" t="str">
        <f aca="false">IF($B333="","",IFERROR(INDEX('Liste des ingrédients'!$G$5:$G$98,MATCH($B333,'Liste des ingrédients'!$B$5:$B$98,0)),"?"))</f>
        <v>œuf</v>
      </c>
      <c r="G333" s="27" t="n">
        <f aca="false">IF(OR($B333="",$C333=""),0,IFERROR($C333*E333/IF(OR(F333="kg",F333="L"),1000,1),0))</f>
        <v>0.3</v>
      </c>
      <c r="H333" s="25" t="str">
        <f aca="false">IF(AND($A333&lt;&gt;"",$A333='Fiche plat'!$C$3),COUNTIF($A$5:$A333,'Fiche plat'!$C$3),"")</f>
        <v/>
      </c>
      <c r="I333" s="0" t="str">
        <f aca="false">IF($A333="","",IFERROR(INDEX(Plats!$D$5:$D$48,MATCH($A333,Plats!$I$5:$I$48,0)),""))</f>
        <v>Oui</v>
      </c>
    </row>
    <row r="334" customFormat="false" ht="15" hidden="false" customHeight="false" outlineLevel="0" collapsed="false">
      <c r="A334" s="25" t="s">
        <v>171</v>
      </c>
      <c r="B334" s="25" t="s">
        <v>116</v>
      </c>
      <c r="C334" s="34" t="n">
        <v>0.25</v>
      </c>
      <c r="D334" s="25" t="str">
        <f aca="false">IF($B334="","",IF(F334="kg","g",IF(F334="L","ml",F334)))</f>
        <v>botte</v>
      </c>
      <c r="E334" s="27" t="n">
        <f aca="false">IF($B334="","",IFERROR(INDEX('Liste des ingrédients'!$H$5:$H$98,MATCH($B334,'Liste des ingrédients'!$B$5:$B$98,0)),0))</f>
        <v>0.8</v>
      </c>
      <c r="F334" s="25" t="str">
        <f aca="false">IF($B334="","",IFERROR(INDEX('Liste des ingrédients'!$G$5:$G$98,MATCH($B334,'Liste des ingrédients'!$B$5:$B$98,0)),"?"))</f>
        <v>botte</v>
      </c>
      <c r="G334" s="27" t="n">
        <f aca="false">IF(OR($B334="",$C334=""),0,IFERROR($C334*E334/IF(OR(F334="kg",F334="L"),1000,1),0))</f>
        <v>0.2</v>
      </c>
      <c r="H334" s="25" t="str">
        <f aca="false">IF(AND($A334&lt;&gt;"",$A334='Fiche plat'!$C$3),COUNTIF($A$5:$A334,'Fiche plat'!$C$3),"")</f>
        <v/>
      </c>
      <c r="I334" s="0" t="str">
        <f aca="false">IF($A334="","",IFERROR(INDEX(Plats!$D$5:$D$48,MATCH($A334,Plats!$I$5:$I$48,0)),""))</f>
        <v>Oui</v>
      </c>
    </row>
    <row r="335" customFormat="false" ht="15" hidden="false" customHeight="false" outlineLevel="0" collapsed="false">
      <c r="A335" s="25" t="s">
        <v>171</v>
      </c>
      <c r="B335" s="25" t="s">
        <v>97</v>
      </c>
      <c r="C335" s="34" t="n">
        <v>50</v>
      </c>
      <c r="D335" s="25" t="str">
        <f aca="false">IF($B335="","",IF(F335="kg","g",IF(F335="L","ml",F335)))</f>
        <v>g</v>
      </c>
      <c r="E335" s="27" t="n">
        <f aca="false">IF($B335="","",IFERROR(INDEX('Liste des ingrédients'!$H$5:$H$98,MATCH($B335,'Liste des ingrédients'!$B$5:$B$98,0)),0))</f>
        <v>15</v>
      </c>
      <c r="F335" s="25" t="str">
        <f aca="false">IF($B335="","",IFERROR(INDEX('Liste des ingrédients'!$G$5:$G$98,MATCH($B335,'Liste des ingrédients'!$B$5:$B$98,0)),"?"))</f>
        <v>kg</v>
      </c>
      <c r="G335" s="27" t="n">
        <f aca="false">IF(OR($B335="",$C335=""),0,IFERROR($C335*E335/IF(OR(F335="kg",F335="L"),1000,1),0))</f>
        <v>0.75</v>
      </c>
      <c r="H335" s="25" t="str">
        <f aca="false">IF(AND($A335&lt;&gt;"",$A335='Fiche plat'!$C$3),COUNTIF($A$5:$A335,'Fiche plat'!$C$3),"")</f>
        <v/>
      </c>
      <c r="I335" s="0" t="str">
        <f aca="false">IF($A335="","",IFERROR(INDEX(Plats!$D$5:$D$48,MATCH($A335,Plats!$I$5:$I$48,0)),""))</f>
        <v>Oui</v>
      </c>
    </row>
    <row r="336" customFormat="false" ht="15" hidden="false" customHeight="false" outlineLevel="0" collapsed="false">
      <c r="A336" s="25" t="s">
        <v>171</v>
      </c>
      <c r="B336" s="25" t="s">
        <v>100</v>
      </c>
      <c r="C336" s="34" t="n">
        <v>2.5</v>
      </c>
      <c r="D336" s="25" t="str">
        <f aca="false">IF($B336="","",IF(F336="kg","g",IF(F336="L","ml",F336)))</f>
        <v>g</v>
      </c>
      <c r="E336" s="27" t="n">
        <f aca="false">IF($B336="","",IFERROR(INDEX('Liste des ingrédients'!$H$5:$H$98,MATCH($B336,'Liste des ingrédients'!$B$5:$B$98,0)),0))</f>
        <v>50</v>
      </c>
      <c r="F336" s="25" t="str">
        <f aca="false">IF($B336="","",IFERROR(INDEX('Liste des ingrédients'!$G$5:$G$98,MATCH($B336,'Liste des ingrédients'!$B$5:$B$98,0)),"?"))</f>
        <v>kg</v>
      </c>
      <c r="G336" s="27" t="n">
        <f aca="false">IF(OR($B336="",$C336=""),0,IFERROR($C336*E336/IF(OR(F336="kg",F336="L"),1000,1),0))</f>
        <v>0.125</v>
      </c>
      <c r="H336" s="25" t="str">
        <f aca="false">IF(AND($A336&lt;&gt;"",$A336='Fiche plat'!$C$3),COUNTIF($A$5:$A336,'Fiche plat'!$C$3),"")</f>
        <v/>
      </c>
      <c r="I336" s="0" t="str">
        <f aca="false">IF($A336="","",IFERROR(INDEX(Plats!$D$5:$D$48,MATCH($A336,Plats!$I$5:$I$48,0)),""))</f>
        <v>Oui</v>
      </c>
    </row>
    <row r="337" customFormat="false" ht="15" hidden="false" customHeight="false" outlineLevel="0" collapsed="false">
      <c r="A337" s="25" t="s">
        <v>171</v>
      </c>
      <c r="B337" s="25" t="s">
        <v>124</v>
      </c>
      <c r="C337" s="34" t="n">
        <v>2.5</v>
      </c>
      <c r="D337" s="25" t="str">
        <f aca="false">IF($B337="","",IF(F337="kg","g",IF(F337="L","ml",F337)))</f>
        <v>g</v>
      </c>
      <c r="E337" s="27" t="n">
        <f aca="false">IF($B337="","",IFERROR(INDEX('Liste des ingrédients'!$H$5:$H$98,MATCH($B337,'Liste des ingrédients'!$B$5:$B$98,0)),0))</f>
        <v>40</v>
      </c>
      <c r="F337" s="25" t="str">
        <f aca="false">IF($B337="","",IFERROR(INDEX('Liste des ingrédients'!$G$5:$G$98,MATCH($B337,'Liste des ingrédients'!$B$5:$B$98,0)),"?"))</f>
        <v>kg</v>
      </c>
      <c r="G337" s="27" t="n">
        <f aca="false">IF(OR($B337="",$C337=""),0,IFERROR($C337*E337/IF(OR(F337="kg",F337="L"),1000,1),0))</f>
        <v>0.1</v>
      </c>
      <c r="H337" s="25" t="str">
        <f aca="false">IF(AND($A337&lt;&gt;"",$A337='Fiche plat'!$C$3),COUNTIF($A$5:$A337,'Fiche plat'!$C$3),"")</f>
        <v/>
      </c>
      <c r="I337" s="0" t="str">
        <f aca="false">IF($A337="","",IFERROR(INDEX(Plats!$D$5:$D$48,MATCH($A337,Plats!$I$5:$I$48,0)),""))</f>
        <v>Oui</v>
      </c>
    </row>
    <row r="338" customFormat="false" ht="15" hidden="false" customHeight="false" outlineLevel="0" collapsed="false">
      <c r="A338" s="25" t="s">
        <v>171</v>
      </c>
      <c r="B338" s="25" t="s">
        <v>102</v>
      </c>
      <c r="C338" s="34" t="n">
        <v>9</v>
      </c>
      <c r="D338" s="25" t="str">
        <f aca="false">IF($B338="","",IF(F338="kg","g",IF(F338="L","ml",F338)))</f>
        <v>g</v>
      </c>
      <c r="E338" s="27" t="n">
        <f aca="false">IF($B338="","",IFERROR(INDEX('Liste des ingrédients'!$H$5:$H$98,MATCH($B338,'Liste des ingrédients'!$B$5:$B$98,0)),0))</f>
        <v>0.8</v>
      </c>
      <c r="F338" s="25" t="str">
        <f aca="false">IF($B338="","",IFERROR(INDEX('Liste des ingrédients'!$G$5:$G$98,MATCH($B338,'Liste des ingrédients'!$B$5:$B$98,0)),"?"))</f>
        <v>kg</v>
      </c>
      <c r="G338" s="27" t="n">
        <f aca="false">IF(OR($B338="",$C338=""),0,IFERROR($C338*E338/IF(OR(F338="kg",F338="L"),1000,1),0))</f>
        <v>0.0072</v>
      </c>
      <c r="H338" s="25" t="str">
        <f aca="false">IF(AND($A338&lt;&gt;"",$A338='Fiche plat'!$C$3),COUNTIF($A$5:$A338,'Fiche plat'!$C$3),"")</f>
        <v/>
      </c>
      <c r="I338" s="0" t="str">
        <f aca="false">IF($A338="","",IFERROR(INDEX(Plats!$D$5:$D$48,MATCH($A338,Plats!$I$5:$I$48,0)),""))</f>
        <v>Oui</v>
      </c>
    </row>
    <row r="339" customFormat="false" ht="15" hidden="false" customHeight="false" outlineLevel="0" collapsed="false">
      <c r="A339" s="25" t="s">
        <v>171</v>
      </c>
      <c r="B339" s="25" t="s">
        <v>103</v>
      </c>
      <c r="C339" s="34" t="n">
        <v>1</v>
      </c>
      <c r="D339" s="25" t="str">
        <f aca="false">IF($B339="","",IF(F339="kg","g",IF(F339="L","ml",F339)))</f>
        <v>g</v>
      </c>
      <c r="E339" s="27" t="n">
        <f aca="false">IF($B339="","",IFERROR(INDEX('Liste des ingrédients'!$H$5:$H$98,MATCH($B339,'Liste des ingrédients'!$B$5:$B$98,0)),0))</f>
        <v>50</v>
      </c>
      <c r="F339" s="25" t="str">
        <f aca="false">IF($B339="","",IFERROR(INDEX('Liste des ingrédients'!$G$5:$G$98,MATCH($B339,'Liste des ingrédients'!$B$5:$B$98,0)),"?"))</f>
        <v>kg</v>
      </c>
      <c r="G339" s="27" t="n">
        <f aca="false">IF(OR($B339="",$C339=""),0,IFERROR($C339*E339/IF(OR(F339="kg",F339="L"),1000,1),0))</f>
        <v>0.05</v>
      </c>
      <c r="H339" s="25" t="str">
        <f aca="false">IF(AND($A339&lt;&gt;"",$A339='Fiche plat'!$C$3),COUNTIF($A$5:$A339,'Fiche plat'!$C$3),"")</f>
        <v/>
      </c>
      <c r="I339" s="0" t="str">
        <f aca="false">IF($A339="","",IFERROR(INDEX(Plats!$D$5:$D$48,MATCH($A339,Plats!$I$5:$I$48,0)),""))</f>
        <v>Oui</v>
      </c>
    </row>
    <row r="340" customFormat="false" ht="15" hidden="false" customHeight="false" outlineLevel="0" collapsed="false">
      <c r="A340" s="25" t="s">
        <v>171</v>
      </c>
      <c r="B340" s="25" t="s">
        <v>95</v>
      </c>
      <c r="C340" s="34" t="n">
        <v>40</v>
      </c>
      <c r="D340" s="25" t="str">
        <f aca="false">IF($B340="","",IF(F340="kg","g",IF(F340="L","ml",F340)))</f>
        <v>g</v>
      </c>
      <c r="E340" s="27" t="n">
        <f aca="false">IF($B340="","",IFERROR(INDEX('Liste des ingrédients'!$H$5:$H$98,MATCH($B340,'Liste des ingrédients'!$B$5:$B$98,0)),0))</f>
        <v>9</v>
      </c>
      <c r="F340" s="25" t="str">
        <f aca="false">IF($B340="","",IFERROR(INDEX('Liste des ingrédients'!$G$5:$G$98,MATCH($B340,'Liste des ingrédients'!$B$5:$B$98,0)),"?"))</f>
        <v>kg</v>
      </c>
      <c r="G340" s="27" t="n">
        <f aca="false">IF(OR($B340="",$C340=""),0,IFERROR($C340*E340/IF(OR(F340="kg",F340="L"),1000,1),0))</f>
        <v>0.36</v>
      </c>
      <c r="H340" s="25" t="str">
        <f aca="false">IF(AND($A340&lt;&gt;"",$A340='Fiche plat'!$C$3),COUNTIF($A$5:$A340,'Fiche plat'!$C$3),"")</f>
        <v/>
      </c>
      <c r="I340" s="0" t="str">
        <f aca="false">IF($A340="","",IFERROR(INDEX(Plats!$D$5:$D$48,MATCH($A340,Plats!$I$5:$I$48,0)),""))</f>
        <v>Oui</v>
      </c>
    </row>
    <row r="341" customFormat="false" ht="15" hidden="false" customHeight="false" outlineLevel="0" collapsed="false">
      <c r="A341" s="25" t="s">
        <v>171</v>
      </c>
      <c r="B341" s="25" t="s">
        <v>96</v>
      </c>
      <c r="C341" s="34" t="n">
        <v>15</v>
      </c>
      <c r="D341" s="25" t="str">
        <f aca="false">IF($B341="","",IF(F341="kg","g",IF(F341="L","ml",F341)))</f>
        <v>g</v>
      </c>
      <c r="E341" s="27" t="n">
        <f aca="false">IF($B341="","",IFERROR(INDEX('Liste des ingrédients'!$H$5:$H$98,MATCH($B341,'Liste des ingrédients'!$B$5:$B$98,0)),0))</f>
        <v>11</v>
      </c>
      <c r="F341" s="25" t="str">
        <f aca="false">IF($B341="","",IFERROR(INDEX('Liste des ingrédients'!$G$5:$G$98,MATCH($B341,'Liste des ingrédients'!$B$5:$B$98,0)),"?"))</f>
        <v>kg</v>
      </c>
      <c r="G341" s="27" t="n">
        <f aca="false">IF(OR($B341="",$C341=""),0,IFERROR($C341*E341/IF(OR(F341="kg",F341="L"),1000,1),0))</f>
        <v>0.165</v>
      </c>
      <c r="H341" s="25" t="str">
        <f aca="false">IF(AND($A341&lt;&gt;"",$A341='Fiche plat'!$C$3),COUNTIF($A$5:$A341,'Fiche plat'!$C$3),"")</f>
        <v/>
      </c>
      <c r="I341" s="0" t="str">
        <f aca="false">IF($A341="","",IFERROR(INDEX(Plats!$D$5:$D$48,MATCH($A341,Plats!$I$5:$I$48,0)),""))</f>
        <v>Oui</v>
      </c>
    </row>
    <row r="342" customFormat="false" ht="15" hidden="false" customHeight="false" outlineLevel="0" collapsed="false">
      <c r="A342" s="25" t="s">
        <v>171</v>
      </c>
      <c r="B342" s="25" t="s">
        <v>99</v>
      </c>
      <c r="C342" s="34" t="n">
        <v>2.5</v>
      </c>
      <c r="D342" s="25" t="str">
        <f aca="false">IF($B342="","",IF(F342="kg","g",IF(F342="L","ml",F342)))</f>
        <v>g</v>
      </c>
      <c r="E342" s="27" t="n">
        <f aca="false">IF($B342="","",IFERROR(INDEX('Liste des ingrédients'!$H$5:$H$98,MATCH($B342,'Liste des ingrédients'!$B$5:$B$98,0)),0))</f>
        <v>40</v>
      </c>
      <c r="F342" s="25" t="str">
        <f aca="false">IF($B342="","",IFERROR(INDEX('Liste des ingrédients'!$G$5:$G$98,MATCH($B342,'Liste des ingrédients'!$B$5:$B$98,0)),"?"))</f>
        <v>kg</v>
      </c>
      <c r="G342" s="27" t="n">
        <f aca="false">IF(OR($B342="",$C342=""),0,IFERROR($C342*E342/IF(OR(F342="kg",F342="L"),1000,1),0))</f>
        <v>0.1</v>
      </c>
      <c r="H342" s="25" t="str">
        <f aca="false">IF(AND($A342&lt;&gt;"",$A342='Fiche plat'!$C$3),COUNTIF($A$5:$A342,'Fiche plat'!$C$3),"")</f>
        <v/>
      </c>
      <c r="I342" s="0" t="str">
        <f aca="false">IF($A342="","",IFERROR(INDEX(Plats!$D$5:$D$48,MATCH($A342,Plats!$I$5:$I$48,0)),""))</f>
        <v>Oui</v>
      </c>
    </row>
    <row r="343" customFormat="false" ht="15" hidden="false" customHeight="false" outlineLevel="0" collapsed="false">
      <c r="A343" s="25" t="s">
        <v>171</v>
      </c>
      <c r="B343" s="25" t="s">
        <v>107</v>
      </c>
      <c r="C343" s="34" t="n">
        <v>20</v>
      </c>
      <c r="D343" s="25" t="str">
        <f aca="false">IF($B343="","",IF(F343="kg","g",IF(F343="L","ml",F343)))</f>
        <v>g</v>
      </c>
      <c r="E343" s="27" t="n">
        <f aca="false">IF($B343="","",IFERROR(INDEX('Liste des ingrédients'!$H$5:$H$98,MATCH($B343,'Liste des ingrédients'!$B$5:$B$98,0)),0))</f>
        <v>3.3</v>
      </c>
      <c r="F343" s="25" t="str">
        <f aca="false">IF($B343="","",IFERROR(INDEX('Liste des ingrédients'!$G$5:$G$98,MATCH($B343,'Liste des ingrédients'!$B$5:$B$98,0)),"?"))</f>
        <v>kg</v>
      </c>
      <c r="G343" s="27" t="n">
        <f aca="false">IF(OR($B343="",$C343=""),0,IFERROR($C343*E343/IF(OR(F343="kg",F343="L"),1000,1),0))</f>
        <v>0.066</v>
      </c>
      <c r="H343" s="25" t="str">
        <f aca="false">IF(AND($A343&lt;&gt;"",$A343='Fiche plat'!$C$3),COUNTIF($A$5:$A343,'Fiche plat'!$C$3),"")</f>
        <v/>
      </c>
      <c r="I343" s="0" t="str">
        <f aca="false">IF($A343="","",IFERROR(INDEX(Plats!$D$5:$D$48,MATCH($A343,Plats!$I$5:$I$48,0)),""))</f>
        <v>Oui</v>
      </c>
    </row>
    <row r="344" customFormat="false" ht="15" hidden="false" customHeight="false" outlineLevel="0" collapsed="false">
      <c r="A344" s="25" t="s">
        <v>171</v>
      </c>
      <c r="B344" s="25" t="s">
        <v>104</v>
      </c>
      <c r="C344" s="34" t="n">
        <v>50</v>
      </c>
      <c r="D344" s="25" t="str">
        <f aca="false">IF($B344="","",IF(F344="kg","g",IF(F344="L","ml",F344)))</f>
        <v>g</v>
      </c>
      <c r="E344" s="27" t="n">
        <f aca="false">IF($B344="","",IFERROR(INDEX('Liste des ingrédients'!$H$5:$H$98,MATCH($B344,'Liste des ingrédients'!$B$5:$B$98,0)),0))</f>
        <v>3</v>
      </c>
      <c r="F344" s="25" t="str">
        <f aca="false">IF($B344="","",IFERROR(INDEX('Liste des ingrédients'!$G$5:$G$98,MATCH($B344,'Liste des ingrédients'!$B$5:$B$98,0)),"?"))</f>
        <v>kg</v>
      </c>
      <c r="G344" s="27" t="n">
        <f aca="false">IF(OR($B344="",$C344=""),0,IFERROR($C344*E344/IF(OR(F344="kg",F344="L"),1000,1),0))</f>
        <v>0.15</v>
      </c>
      <c r="H344" s="25" t="str">
        <f aca="false">IF(AND($A344&lt;&gt;"",$A344='Fiche plat'!$C$3),COUNTIF($A$5:$A344,'Fiche plat'!$C$3),"")</f>
        <v/>
      </c>
      <c r="I344" s="0" t="str">
        <f aca="false">IF($A344="","",IFERROR(INDEX(Plats!$D$5:$D$48,MATCH($A344,Plats!$I$5:$I$48,0)),""))</f>
        <v>Oui</v>
      </c>
    </row>
    <row r="345" customFormat="false" ht="15" hidden="false" customHeight="false" outlineLevel="0" collapsed="false">
      <c r="A345" s="25" t="s">
        <v>171</v>
      </c>
      <c r="B345" s="25" t="s">
        <v>101</v>
      </c>
      <c r="C345" s="34" t="n">
        <v>90</v>
      </c>
      <c r="D345" s="25" t="str">
        <f aca="false">IF($B345="","",IF(F345="kg","g",IF(F345="L","ml",F345)))</f>
        <v>ml</v>
      </c>
      <c r="E345" s="27" t="n">
        <f aca="false">IF($B345="","",IFERROR(INDEX('Liste des ingrédients'!$H$5:$H$98,MATCH($B345,'Liste des ingrédients'!$B$5:$B$98,0)),0))</f>
        <v>12.5</v>
      </c>
      <c r="F345" s="25" t="str">
        <f aca="false">IF($B345="","",IFERROR(INDEX('Liste des ingrédients'!$G$5:$G$98,MATCH($B345,'Liste des ingrédients'!$B$5:$B$98,0)),"?"))</f>
        <v>L</v>
      </c>
      <c r="G345" s="27" t="n">
        <f aca="false">IF(OR($B345="",$C345=""),0,IFERROR($C345*E345/IF(OR(F345="kg",F345="L"),1000,1),0))</f>
        <v>1.125</v>
      </c>
      <c r="H345" s="25" t="str">
        <f aca="false">IF(AND($A345&lt;&gt;"",$A345='Fiche plat'!$C$3),COUNTIF($A$5:$A345,'Fiche plat'!$C$3),"")</f>
        <v/>
      </c>
      <c r="I345" s="0" t="str">
        <f aca="false">IF($A345="","",IFERROR(INDEX(Plats!$D$5:$D$48,MATCH($A345,Plats!$I$5:$I$48,0)),""))</f>
        <v>Oui</v>
      </c>
    </row>
    <row r="346" customFormat="false" ht="15" hidden="false" customHeight="false" outlineLevel="0" collapsed="false">
      <c r="A346" s="25" t="s">
        <v>171</v>
      </c>
      <c r="B346" s="25" t="s">
        <v>156</v>
      </c>
      <c r="C346" s="34" t="n">
        <v>300</v>
      </c>
      <c r="D346" s="25" t="str">
        <f aca="false">IF($B346="","",IF(F346="kg","g",IF(F346="L","ml",F346)))</f>
        <v>g</v>
      </c>
      <c r="E346" s="27" t="n">
        <f aca="false">IF($B346="","",IFERROR(INDEX('Liste des ingrédients'!$H$5:$H$98,MATCH($B346,'Liste des ingrédients'!$B$5:$B$98,0)),0))</f>
        <v>5</v>
      </c>
      <c r="F346" s="25" t="str">
        <f aca="false">IF($B346="","",IFERROR(INDEX('Liste des ingrédients'!$G$5:$G$98,MATCH($B346,'Liste des ingrédients'!$B$5:$B$98,0)),"?"))</f>
        <v>kg</v>
      </c>
      <c r="G346" s="27" t="n">
        <f aca="false">IF(OR($B346="",$C346=""),0,IFERROR($C346*E346/IF(OR(F346="kg",F346="L"),1000,1),0))</f>
        <v>1.5</v>
      </c>
      <c r="H346" s="25" t="str">
        <f aca="false">IF(AND($A346&lt;&gt;"",$A346='Fiche plat'!$C$3),COUNTIF($A$5:$A346,'Fiche plat'!$C$3),"")</f>
        <v/>
      </c>
      <c r="I346" s="0" t="str">
        <f aca="false">IF($A346="","",IFERROR(INDEX(Plats!$D$5:$D$48,MATCH($A346,Plats!$I$5:$I$48,0)),""))</f>
        <v>Oui</v>
      </c>
    </row>
    <row r="347" customFormat="false" ht="15" hidden="false" customHeight="false" outlineLevel="0" collapsed="false">
      <c r="A347" s="22" t="s">
        <v>173</v>
      </c>
      <c r="B347" s="22" t="s">
        <v>92</v>
      </c>
      <c r="C347" s="35" t="n">
        <v>600</v>
      </c>
      <c r="D347" s="22" t="str">
        <f aca="false">IF($B347="","",IF(F347="kg","g",IF(F347="L","ml",F347)))</f>
        <v>g</v>
      </c>
      <c r="E347" s="24" t="n">
        <f aca="false">IF($B347="","",IFERROR(INDEX('Liste des ingrédients'!$H$5:$H$98,MATCH($B347,'Liste des ingrédients'!$B$5:$B$98,0)),0))</f>
        <v>2.5</v>
      </c>
      <c r="F347" s="22" t="str">
        <f aca="false">IF($B347="","",IFERROR(INDEX('Liste des ingrédients'!$G$5:$G$98,MATCH($B347,'Liste des ingrédients'!$B$5:$B$98,0)),"?"))</f>
        <v>kg</v>
      </c>
      <c r="G347" s="24" t="n">
        <f aca="false">IF(OR($B347="",$C347=""),0,IFERROR($C347*E347/IF(OR(F347="kg",F347="L"),1000,1),0))</f>
        <v>1.5</v>
      </c>
      <c r="H347" s="22" t="str">
        <f aca="false">IF(AND($A347&lt;&gt;"",$A347='Fiche plat'!$C$3),COUNTIF($A$5:$A347,'Fiche plat'!$C$3),"")</f>
        <v/>
      </c>
      <c r="I347" s="0" t="str">
        <f aca="false">IF($A347="","",IFERROR(INDEX(Plats!$D$5:$D$48,MATCH($A347,Plats!$I$5:$I$48,0)),""))</f>
        <v>Oui</v>
      </c>
    </row>
    <row r="348" customFormat="false" ht="15" hidden="false" customHeight="false" outlineLevel="0" collapsed="false">
      <c r="A348" s="22" t="s">
        <v>173</v>
      </c>
      <c r="B348" s="22" t="s">
        <v>110</v>
      </c>
      <c r="C348" s="35" t="n">
        <v>6</v>
      </c>
      <c r="D348" s="22" t="str">
        <f aca="false">IF($B348="","",IF(F348="kg","g",IF(F348="L","ml",F348)))</f>
        <v>œuf</v>
      </c>
      <c r="E348" s="24" t="n">
        <f aca="false">IF($B348="","",IFERROR(INDEX('Liste des ingrédients'!$H$5:$H$98,MATCH($B348,'Liste des ingrédients'!$B$5:$B$98,0)),0))</f>
        <v>0.3</v>
      </c>
      <c r="F348" s="22" t="str">
        <f aca="false">IF($B348="","",IFERROR(INDEX('Liste des ingrédients'!$G$5:$G$98,MATCH($B348,'Liste des ingrédients'!$B$5:$B$98,0)),"?"))</f>
        <v>œuf</v>
      </c>
      <c r="G348" s="24" t="n">
        <f aca="false">IF(OR($B348="",$C348=""),0,IFERROR($C348*E348/IF(OR(F348="kg",F348="L"),1000,1),0))</f>
        <v>1.8</v>
      </c>
      <c r="H348" s="22" t="str">
        <f aca="false">IF(AND($A348&lt;&gt;"",$A348='Fiche plat'!$C$3),COUNTIF($A$5:$A348,'Fiche plat'!$C$3),"")</f>
        <v/>
      </c>
      <c r="I348" s="0" t="str">
        <f aca="false">IF($A348="","",IFERROR(INDEX(Plats!$D$5:$D$48,MATCH($A348,Plats!$I$5:$I$48,0)),""))</f>
        <v>Oui</v>
      </c>
    </row>
    <row r="349" customFormat="false" ht="15" hidden="false" customHeight="false" outlineLevel="0" collapsed="false">
      <c r="A349" s="22" t="s">
        <v>173</v>
      </c>
      <c r="B349" s="22" t="s">
        <v>108</v>
      </c>
      <c r="C349" s="35" t="n">
        <v>350</v>
      </c>
      <c r="D349" s="22" t="str">
        <f aca="false">IF($B349="","",IF(F349="kg","g",IF(F349="L","ml",F349)))</f>
        <v>g</v>
      </c>
      <c r="E349" s="24" t="n">
        <f aca="false">IF($B349="","",IFERROR(INDEX('Liste des ingrédients'!$H$5:$H$98,MATCH($B349,'Liste des ingrédients'!$B$5:$B$98,0)),0))</f>
        <v>2</v>
      </c>
      <c r="F349" s="22" t="str">
        <f aca="false">IF($B349="","",IFERROR(INDEX('Liste des ingrédients'!$G$5:$G$98,MATCH($B349,'Liste des ingrédients'!$B$5:$B$98,0)),"?"))</f>
        <v>kg</v>
      </c>
      <c r="G349" s="24" t="n">
        <f aca="false">IF(OR($B349="",$C349=""),0,IFERROR($C349*E349/IF(OR(F349="kg",F349="L"),1000,1),0))</f>
        <v>0.7</v>
      </c>
      <c r="H349" s="22" t="str">
        <f aca="false">IF(AND($A349&lt;&gt;"",$A349='Fiche plat'!$C$3),COUNTIF($A$5:$A349,'Fiche plat'!$C$3),"")</f>
        <v/>
      </c>
      <c r="I349" s="0" t="str">
        <f aca="false">IF($A349="","",IFERROR(INDEX(Plats!$D$5:$D$48,MATCH($A349,Plats!$I$5:$I$48,0)),""))</f>
        <v>Oui</v>
      </c>
    </row>
    <row r="350" customFormat="false" ht="15" hidden="false" customHeight="false" outlineLevel="0" collapsed="false">
      <c r="A350" s="22" t="s">
        <v>173</v>
      </c>
      <c r="B350" s="22" t="s">
        <v>95</v>
      </c>
      <c r="C350" s="35" t="n">
        <v>20</v>
      </c>
      <c r="D350" s="22" t="str">
        <f aca="false">IF($B350="","",IF(F350="kg","g",IF(F350="L","ml",F350)))</f>
        <v>g</v>
      </c>
      <c r="E350" s="24" t="n">
        <f aca="false">IF($B350="","",IFERROR(INDEX('Liste des ingrédients'!$H$5:$H$98,MATCH($B350,'Liste des ingrédients'!$B$5:$B$98,0)),0))</f>
        <v>9</v>
      </c>
      <c r="F350" s="22" t="str">
        <f aca="false">IF($B350="","",IFERROR(INDEX('Liste des ingrédients'!$G$5:$G$98,MATCH($B350,'Liste des ingrédients'!$B$5:$B$98,0)),"?"))</f>
        <v>kg</v>
      </c>
      <c r="G350" s="24" t="n">
        <f aca="false">IF(OR($B350="",$C350=""),0,IFERROR($C350*E350/IF(OR(F350="kg",F350="L"),1000,1),0))</f>
        <v>0.18</v>
      </c>
      <c r="H350" s="22" t="str">
        <f aca="false">IF(AND($A350&lt;&gt;"",$A350='Fiche plat'!$C$3),COUNTIF($A$5:$A350,'Fiche plat'!$C$3),"")</f>
        <v/>
      </c>
      <c r="I350" s="0" t="str">
        <f aca="false">IF($A350="","",IFERROR(INDEX(Plats!$D$5:$D$48,MATCH($A350,Plats!$I$5:$I$48,0)),""))</f>
        <v>Oui</v>
      </c>
    </row>
    <row r="351" customFormat="false" ht="15" hidden="false" customHeight="false" outlineLevel="0" collapsed="false">
      <c r="A351" s="22" t="s">
        <v>173</v>
      </c>
      <c r="B351" s="22" t="s">
        <v>97</v>
      </c>
      <c r="C351" s="35" t="n">
        <v>15</v>
      </c>
      <c r="D351" s="22" t="str">
        <f aca="false">IF($B351="","",IF(F351="kg","g",IF(F351="L","ml",F351)))</f>
        <v>g</v>
      </c>
      <c r="E351" s="24" t="n">
        <f aca="false">IF($B351="","",IFERROR(INDEX('Liste des ingrédients'!$H$5:$H$98,MATCH($B351,'Liste des ingrédients'!$B$5:$B$98,0)),0))</f>
        <v>15</v>
      </c>
      <c r="F351" s="22" t="str">
        <f aca="false">IF($B351="","",IFERROR(INDEX('Liste des ingrédients'!$G$5:$G$98,MATCH($B351,'Liste des ingrédients'!$B$5:$B$98,0)),"?"))</f>
        <v>kg</v>
      </c>
      <c r="G351" s="24" t="n">
        <f aca="false">IF(OR($B351="",$C351=""),0,IFERROR($C351*E351/IF(OR(F351="kg",F351="L"),1000,1),0))</f>
        <v>0.225</v>
      </c>
      <c r="H351" s="22" t="str">
        <f aca="false">IF(AND($A351&lt;&gt;"",$A351='Fiche plat'!$C$3),COUNTIF($A$5:$A351,'Fiche plat'!$C$3),"")</f>
        <v/>
      </c>
      <c r="I351" s="0" t="str">
        <f aca="false">IF($A351="","",IFERROR(INDEX(Plats!$D$5:$D$48,MATCH($A351,Plats!$I$5:$I$48,0)),""))</f>
        <v>Oui</v>
      </c>
    </row>
    <row r="352" customFormat="false" ht="15" hidden="false" customHeight="false" outlineLevel="0" collapsed="false">
      <c r="A352" s="22" t="s">
        <v>173</v>
      </c>
      <c r="B352" s="22" t="s">
        <v>106</v>
      </c>
      <c r="C352" s="35" t="n">
        <v>200</v>
      </c>
      <c r="D352" s="22" t="str">
        <f aca="false">IF($B352="","",IF(F352="kg","g",IF(F352="L","ml",F352)))</f>
        <v>g</v>
      </c>
      <c r="E352" s="24" t="n">
        <f aca="false">IF($B352="","",IFERROR(INDEX('Liste des ingrédients'!$H$5:$H$98,MATCH($B352,'Liste des ingrédients'!$B$5:$B$98,0)),0))</f>
        <v>2.5</v>
      </c>
      <c r="F352" s="22" t="str">
        <f aca="false">IF($B352="","",IFERROR(INDEX('Liste des ingrédients'!$G$5:$G$98,MATCH($B352,'Liste des ingrédients'!$B$5:$B$98,0)),"?"))</f>
        <v>kg</v>
      </c>
      <c r="G352" s="24" t="n">
        <f aca="false">IF(OR($B352="",$C352=""),0,IFERROR($C352*E352/IF(OR(F352="kg",F352="L"),1000,1),0))</f>
        <v>0.5</v>
      </c>
      <c r="H352" s="22" t="str">
        <f aca="false">IF(AND($A352&lt;&gt;"",$A352='Fiche plat'!$C$3),COUNTIF($A$5:$A352,'Fiche plat'!$C$3),"")</f>
        <v/>
      </c>
      <c r="I352" s="0" t="str">
        <f aca="false">IF($A352="","",IFERROR(INDEX(Plats!$D$5:$D$48,MATCH($A352,Plats!$I$5:$I$48,0)),""))</f>
        <v>Oui</v>
      </c>
    </row>
    <row r="353" customFormat="false" ht="15" hidden="false" customHeight="false" outlineLevel="0" collapsed="false">
      <c r="A353" s="22" t="s">
        <v>173</v>
      </c>
      <c r="B353" s="22" t="s">
        <v>96</v>
      </c>
      <c r="C353" s="35" t="n">
        <v>15</v>
      </c>
      <c r="D353" s="22" t="str">
        <f aca="false">IF($B353="","",IF(F353="kg","g",IF(F353="L","ml",F353)))</f>
        <v>g</v>
      </c>
      <c r="E353" s="24" t="n">
        <f aca="false">IF($B353="","",IFERROR(INDEX('Liste des ingrédients'!$H$5:$H$98,MATCH($B353,'Liste des ingrédients'!$B$5:$B$98,0)),0))</f>
        <v>11</v>
      </c>
      <c r="F353" s="22" t="str">
        <f aca="false">IF($B353="","",IFERROR(INDEX('Liste des ingrédients'!$G$5:$G$98,MATCH($B353,'Liste des ingrédients'!$B$5:$B$98,0)),"?"))</f>
        <v>kg</v>
      </c>
      <c r="G353" s="24" t="n">
        <f aca="false">IF(OR($B353="",$C353=""),0,IFERROR($C353*E353/IF(OR(F353="kg",F353="L"),1000,1),0))</f>
        <v>0.165</v>
      </c>
      <c r="H353" s="22" t="str">
        <f aca="false">IF(AND($A353&lt;&gt;"",$A353='Fiche plat'!$C$3),COUNTIF($A$5:$A353,'Fiche plat'!$C$3),"")</f>
        <v/>
      </c>
      <c r="I353" s="0" t="str">
        <f aca="false">IF($A353="","",IFERROR(INDEX(Plats!$D$5:$D$48,MATCH($A353,Plats!$I$5:$I$48,0)),""))</f>
        <v>Oui</v>
      </c>
    </row>
    <row r="354" customFormat="false" ht="15" hidden="false" customHeight="false" outlineLevel="0" collapsed="false">
      <c r="A354" s="22" t="s">
        <v>173</v>
      </c>
      <c r="B354" s="22" t="s">
        <v>100</v>
      </c>
      <c r="C354" s="35" t="n">
        <v>1</v>
      </c>
      <c r="D354" s="22" t="str">
        <f aca="false">IF($B354="","",IF(F354="kg","g",IF(F354="L","ml",F354)))</f>
        <v>g</v>
      </c>
      <c r="E354" s="24" t="n">
        <f aca="false">IF($B354="","",IFERROR(INDEX('Liste des ingrédients'!$H$5:$H$98,MATCH($B354,'Liste des ingrédients'!$B$5:$B$98,0)),0))</f>
        <v>50</v>
      </c>
      <c r="F354" s="22" t="str">
        <f aca="false">IF($B354="","",IFERROR(INDEX('Liste des ingrédients'!$G$5:$G$98,MATCH($B354,'Liste des ingrédients'!$B$5:$B$98,0)),"?"))</f>
        <v>kg</v>
      </c>
      <c r="G354" s="24" t="n">
        <f aca="false">IF(OR($B354="",$C354=""),0,IFERROR($C354*E354/IF(OR(F354="kg",F354="L"),1000,1),0))</f>
        <v>0.05</v>
      </c>
      <c r="H354" s="22" t="str">
        <f aca="false">IF(AND($A354&lt;&gt;"",$A354='Fiche plat'!$C$3),COUNTIF($A$5:$A354,'Fiche plat'!$C$3),"")</f>
        <v/>
      </c>
      <c r="I354" s="0" t="str">
        <f aca="false">IF($A354="","",IFERROR(INDEX(Plats!$D$5:$D$48,MATCH($A354,Plats!$I$5:$I$48,0)),""))</f>
        <v>Oui</v>
      </c>
    </row>
    <row r="355" customFormat="false" ht="15" hidden="false" customHeight="false" outlineLevel="0" collapsed="false">
      <c r="A355" s="22" t="s">
        <v>173</v>
      </c>
      <c r="B355" s="22" t="s">
        <v>117</v>
      </c>
      <c r="C355" s="35" t="n">
        <v>2.5</v>
      </c>
      <c r="D355" s="22" t="str">
        <f aca="false">IF($B355="","",IF(F355="kg","g",IF(F355="L","ml",F355)))</f>
        <v>g</v>
      </c>
      <c r="E355" s="24" t="n">
        <f aca="false">IF($B355="","",IFERROR(INDEX('Liste des ingrédients'!$H$5:$H$98,MATCH($B355,'Liste des ingrédients'!$B$5:$B$98,0)),0))</f>
        <v>33</v>
      </c>
      <c r="F355" s="22" t="str">
        <f aca="false">IF($B355="","",IFERROR(INDEX('Liste des ingrédients'!$G$5:$G$98,MATCH($B355,'Liste des ingrédients'!$B$5:$B$98,0)),"?"))</f>
        <v>kg</v>
      </c>
      <c r="G355" s="24" t="n">
        <f aca="false">IF(OR($B355="",$C355=""),0,IFERROR($C355*E355/IF(OR(F355="kg",F355="L"),1000,1),0))</f>
        <v>0.0825</v>
      </c>
      <c r="H355" s="22" t="str">
        <f aca="false">IF(AND($A355&lt;&gt;"",$A355='Fiche plat'!$C$3),COUNTIF($A$5:$A355,'Fiche plat'!$C$3),"")</f>
        <v/>
      </c>
      <c r="I355" s="0" t="str">
        <f aca="false">IF($A355="","",IFERROR(INDEX(Plats!$D$5:$D$48,MATCH($A355,Plats!$I$5:$I$48,0)),""))</f>
        <v>Oui</v>
      </c>
    </row>
    <row r="356" customFormat="false" ht="15" hidden="false" customHeight="false" outlineLevel="0" collapsed="false">
      <c r="A356" s="22" t="s">
        <v>173</v>
      </c>
      <c r="B356" s="22" t="s">
        <v>101</v>
      </c>
      <c r="C356" s="35" t="n">
        <v>60</v>
      </c>
      <c r="D356" s="22" t="str">
        <f aca="false">IF($B356="","",IF(F356="kg","g",IF(F356="L","ml",F356)))</f>
        <v>ml</v>
      </c>
      <c r="E356" s="24" t="n">
        <f aca="false">IF($B356="","",IFERROR(INDEX('Liste des ingrédients'!$H$5:$H$98,MATCH($B356,'Liste des ingrédients'!$B$5:$B$98,0)),0))</f>
        <v>12.5</v>
      </c>
      <c r="F356" s="22" t="str">
        <f aca="false">IF($B356="","",IFERROR(INDEX('Liste des ingrédients'!$G$5:$G$98,MATCH($B356,'Liste des ingrédients'!$B$5:$B$98,0)),"?"))</f>
        <v>L</v>
      </c>
      <c r="G356" s="24" t="n">
        <f aca="false">IF(OR($B356="",$C356=""),0,IFERROR($C356*E356/IF(OR(F356="kg",F356="L"),1000,1),0))</f>
        <v>0.75</v>
      </c>
      <c r="H356" s="22" t="str">
        <f aca="false">IF(AND($A356&lt;&gt;"",$A356='Fiche plat'!$C$3),COUNTIF($A$5:$A356,'Fiche plat'!$C$3),"")</f>
        <v/>
      </c>
      <c r="I356" s="0" t="str">
        <f aca="false">IF($A356="","",IFERROR(INDEX(Plats!$D$5:$D$48,MATCH($A356,Plats!$I$5:$I$48,0)),""))</f>
        <v>Oui</v>
      </c>
    </row>
    <row r="357" customFormat="false" ht="15" hidden="false" customHeight="false" outlineLevel="0" collapsed="false">
      <c r="A357" s="22" t="s">
        <v>173</v>
      </c>
      <c r="B357" s="22" t="s">
        <v>102</v>
      </c>
      <c r="C357" s="35" t="n">
        <v>6</v>
      </c>
      <c r="D357" s="22" t="str">
        <f aca="false">IF($B357="","",IF(F357="kg","g",IF(F357="L","ml",F357)))</f>
        <v>g</v>
      </c>
      <c r="E357" s="24" t="n">
        <f aca="false">IF($B357="","",IFERROR(INDEX('Liste des ingrédients'!$H$5:$H$98,MATCH($B357,'Liste des ingrédients'!$B$5:$B$98,0)),0))</f>
        <v>0.8</v>
      </c>
      <c r="F357" s="22" t="str">
        <f aca="false">IF($B357="","",IFERROR(INDEX('Liste des ingrédients'!$G$5:$G$98,MATCH($B357,'Liste des ingrédients'!$B$5:$B$98,0)),"?"))</f>
        <v>kg</v>
      </c>
      <c r="G357" s="24" t="n">
        <f aca="false">IF(OR($B357="",$C357=""),0,IFERROR($C357*E357/IF(OR(F357="kg",F357="L"),1000,1),0))</f>
        <v>0.0048</v>
      </c>
      <c r="H357" s="22" t="str">
        <f aca="false">IF(AND($A357&lt;&gt;"",$A357='Fiche plat'!$C$3),COUNTIF($A$5:$A357,'Fiche plat'!$C$3),"")</f>
        <v/>
      </c>
      <c r="I357" s="0" t="str">
        <f aca="false">IF($A357="","",IFERROR(INDEX(Plats!$D$5:$D$48,MATCH($A357,Plats!$I$5:$I$48,0)),""))</f>
        <v>Oui</v>
      </c>
    </row>
    <row r="358" customFormat="false" ht="15" hidden="false" customHeight="false" outlineLevel="0" collapsed="false">
      <c r="A358" s="22" t="s">
        <v>173</v>
      </c>
      <c r="B358" s="22" t="s">
        <v>103</v>
      </c>
      <c r="C358" s="35" t="n">
        <v>1</v>
      </c>
      <c r="D358" s="22" t="str">
        <f aca="false">IF($B358="","",IF(F358="kg","g",IF(F358="L","ml",F358)))</f>
        <v>g</v>
      </c>
      <c r="E358" s="24" t="n">
        <f aca="false">IF($B358="","",IFERROR(INDEX('Liste des ingrédients'!$H$5:$H$98,MATCH($B358,'Liste des ingrédients'!$B$5:$B$98,0)),0))</f>
        <v>50</v>
      </c>
      <c r="F358" s="22" t="str">
        <f aca="false">IF($B358="","",IFERROR(INDEX('Liste des ingrédients'!$G$5:$G$98,MATCH($B358,'Liste des ingrédients'!$B$5:$B$98,0)),"?"))</f>
        <v>kg</v>
      </c>
      <c r="G358" s="24" t="n">
        <f aca="false">IF(OR($B358="",$C358=""),0,IFERROR($C358*E358/IF(OR(F358="kg",F358="L"),1000,1),0))</f>
        <v>0.05</v>
      </c>
      <c r="H358" s="22" t="str">
        <f aca="false">IF(AND($A358&lt;&gt;"",$A358='Fiche plat'!$C$3),COUNTIF($A$5:$A358,'Fiche plat'!$C$3),"")</f>
        <v/>
      </c>
      <c r="I358" s="0" t="str">
        <f aca="false">IF($A358="","",IFERROR(INDEX(Plats!$D$5:$D$48,MATCH($A358,Plats!$I$5:$I$48,0)),""))</f>
        <v>Oui</v>
      </c>
    </row>
    <row r="359" customFormat="false" ht="15" hidden="false" customHeight="false" outlineLevel="0" collapsed="false">
      <c r="A359" s="22" t="s">
        <v>173</v>
      </c>
      <c r="B359" s="22" t="s">
        <v>118</v>
      </c>
      <c r="C359" s="35" t="n">
        <v>300</v>
      </c>
      <c r="D359" s="22" t="str">
        <f aca="false">IF($B359="","",IF(F359="kg","g",IF(F359="L","ml",F359)))</f>
        <v>ml</v>
      </c>
      <c r="E359" s="24" t="n">
        <f aca="false">IF($B359="","",IFERROR(INDEX('Liste des ingrédients'!$H$5:$H$98,MATCH($B359,'Liste des ingrédients'!$B$5:$B$98,0)),0))</f>
        <v>6</v>
      </c>
      <c r="F359" s="22" t="str">
        <f aca="false">IF($B359="","",IFERROR(INDEX('Liste des ingrédients'!$G$5:$G$98,MATCH($B359,'Liste des ingrédients'!$B$5:$B$98,0)),"?"))</f>
        <v>L</v>
      </c>
      <c r="G359" s="24" t="n">
        <f aca="false">IF(OR($B359="",$C359=""),0,IFERROR($C359*E359/IF(OR(F359="kg",F359="L"),1000,1),0))</f>
        <v>1.8</v>
      </c>
      <c r="H359" s="22" t="str">
        <f aca="false">IF(AND($A359&lt;&gt;"",$A359='Fiche plat'!$C$3),COUNTIF($A$5:$A359,'Fiche plat'!$C$3),"")</f>
        <v/>
      </c>
      <c r="I359" s="0" t="str">
        <f aca="false">IF($A359="","",IFERROR(INDEX(Plats!$D$5:$D$48,MATCH($A359,Plats!$I$5:$I$48,0)),""))</f>
        <v>Oui</v>
      </c>
    </row>
    <row r="360" customFormat="false" ht="15" hidden="false" customHeight="false" outlineLevel="0" collapsed="false">
      <c r="A360" s="25" t="s">
        <v>174</v>
      </c>
      <c r="B360" s="25" t="s">
        <v>106</v>
      </c>
      <c r="C360" s="34" t="n">
        <v>400</v>
      </c>
      <c r="D360" s="25" t="str">
        <f aca="false">IF($B360="","",IF(F360="kg","g",IF(F360="L","ml",F360)))</f>
        <v>g</v>
      </c>
      <c r="E360" s="27" t="n">
        <f aca="false">IF($B360="","",IFERROR(INDEX('Liste des ingrédients'!$H$5:$H$98,MATCH($B360,'Liste des ingrédients'!$B$5:$B$98,0)),0))</f>
        <v>2.5</v>
      </c>
      <c r="F360" s="25" t="str">
        <f aca="false">IF($B360="","",IFERROR(INDEX('Liste des ingrédients'!$G$5:$G$98,MATCH($B360,'Liste des ingrédients'!$B$5:$B$98,0)),"?"))</f>
        <v>kg</v>
      </c>
      <c r="G360" s="27" t="n">
        <f aca="false">IF(OR($B360="",$C360=""),0,IFERROR($C360*E360/IF(OR(F360="kg",F360="L"),1000,1),0))</f>
        <v>1</v>
      </c>
      <c r="H360" s="25" t="str">
        <f aca="false">IF(AND($A360&lt;&gt;"",$A360='Fiche plat'!$C$3),COUNTIF($A$5:$A360,'Fiche plat'!$C$3),"")</f>
        <v/>
      </c>
      <c r="I360" s="0" t="str">
        <f aca="false">IF($A360="","",IFERROR(INDEX(Plats!$D$5:$D$48,MATCH($A360,Plats!$I$5:$I$48,0)),""))</f>
        <v>Oui</v>
      </c>
    </row>
    <row r="361" customFormat="false" ht="15" hidden="false" customHeight="false" outlineLevel="0" collapsed="false">
      <c r="A361" s="25" t="s">
        <v>174</v>
      </c>
      <c r="B361" s="25" t="s">
        <v>108</v>
      </c>
      <c r="C361" s="34" t="n">
        <v>450</v>
      </c>
      <c r="D361" s="25" t="str">
        <f aca="false">IF($B361="","",IF(F361="kg","g",IF(F361="L","ml",F361)))</f>
        <v>g</v>
      </c>
      <c r="E361" s="27" t="n">
        <f aca="false">IF($B361="","",IFERROR(INDEX('Liste des ingrédients'!$H$5:$H$98,MATCH($B361,'Liste des ingrédients'!$B$5:$B$98,0)),0))</f>
        <v>2</v>
      </c>
      <c r="F361" s="25" t="str">
        <f aca="false">IF($B361="","",IFERROR(INDEX('Liste des ingrédients'!$G$5:$G$98,MATCH($B361,'Liste des ingrédients'!$B$5:$B$98,0)),"?"))</f>
        <v>kg</v>
      </c>
      <c r="G361" s="27" t="n">
        <f aca="false">IF(OR($B361="",$C361=""),0,IFERROR($C361*E361/IF(OR(F361="kg",F361="L"),1000,1),0))</f>
        <v>0.9</v>
      </c>
      <c r="H361" s="25" t="str">
        <f aca="false">IF(AND($A361&lt;&gt;"",$A361='Fiche plat'!$C$3),COUNTIF($A$5:$A361,'Fiche plat'!$C$3),"")</f>
        <v/>
      </c>
      <c r="I361" s="0" t="str">
        <f aca="false">IF($A361="","",IFERROR(INDEX(Plats!$D$5:$D$48,MATCH($A361,Plats!$I$5:$I$48,0)),""))</f>
        <v>Oui</v>
      </c>
    </row>
    <row r="362" customFormat="false" ht="15" hidden="false" customHeight="false" outlineLevel="0" collapsed="false">
      <c r="A362" s="25" t="s">
        <v>174</v>
      </c>
      <c r="B362" s="25" t="s">
        <v>91</v>
      </c>
      <c r="C362" s="34" t="n">
        <v>300</v>
      </c>
      <c r="D362" s="25" t="str">
        <f aca="false">IF($B362="","",IF(F362="kg","g",IF(F362="L","ml",F362)))</f>
        <v>g</v>
      </c>
      <c r="E362" s="27" t="n">
        <f aca="false">IF($B362="","",IFERROR(INDEX('Liste des ingrédients'!$H$5:$H$98,MATCH($B362,'Liste des ingrédients'!$B$5:$B$98,0)),0))</f>
        <v>2</v>
      </c>
      <c r="F362" s="25" t="str">
        <f aca="false">IF($B362="","",IFERROR(INDEX('Liste des ingrédients'!$G$5:$G$98,MATCH($B362,'Liste des ingrédients'!$B$5:$B$98,0)),"?"))</f>
        <v>kg</v>
      </c>
      <c r="G362" s="27" t="n">
        <f aca="false">IF(OR($B362="",$C362=""),0,IFERROR($C362*E362/IF(OR(F362="kg",F362="L"),1000,1),0))</f>
        <v>0.6</v>
      </c>
      <c r="H362" s="25" t="str">
        <f aca="false">IF(AND($A362&lt;&gt;"",$A362='Fiche plat'!$C$3),COUNTIF($A$5:$A362,'Fiche plat'!$C$3),"")</f>
        <v/>
      </c>
      <c r="I362" s="0" t="str">
        <f aca="false">IF($A362="","",IFERROR(INDEX(Plats!$D$5:$D$48,MATCH($A362,Plats!$I$5:$I$48,0)),""))</f>
        <v>Oui</v>
      </c>
    </row>
    <row r="363" customFormat="false" ht="15" hidden="false" customHeight="false" outlineLevel="0" collapsed="false">
      <c r="A363" s="25" t="s">
        <v>174</v>
      </c>
      <c r="B363" s="25" t="s">
        <v>150</v>
      </c>
      <c r="C363" s="34" t="n">
        <v>300</v>
      </c>
      <c r="D363" s="25" t="str">
        <f aca="false">IF($B363="","",IF(F363="kg","g",IF(F363="L","ml",F363)))</f>
        <v>g</v>
      </c>
      <c r="E363" s="27" t="n">
        <f aca="false">IF($B363="","",IFERROR(INDEX('Liste des ingrédients'!$H$5:$H$98,MATCH($B363,'Liste des ingrédients'!$B$5:$B$98,0)),0))</f>
        <v>1.5</v>
      </c>
      <c r="F363" s="25" t="str">
        <f aca="false">IF($B363="","",IFERROR(INDEX('Liste des ingrédients'!$G$5:$G$98,MATCH($B363,'Liste des ingrédients'!$B$5:$B$98,0)),"?"))</f>
        <v>kg</v>
      </c>
      <c r="G363" s="27" t="n">
        <f aca="false">IF(OR($B363="",$C363=""),0,IFERROR($C363*E363/IF(OR(F363="kg",F363="L"),1000,1),0))</f>
        <v>0.45</v>
      </c>
      <c r="H363" s="25" t="str">
        <f aca="false">IF(AND($A363&lt;&gt;"",$A363='Fiche plat'!$C$3),COUNTIF($A$5:$A363,'Fiche plat'!$C$3),"")</f>
        <v/>
      </c>
      <c r="I363" s="0" t="str">
        <f aca="false">IF($A363="","",IFERROR(INDEX(Plats!$D$5:$D$48,MATCH($A363,Plats!$I$5:$I$48,0)),""))</f>
        <v>Oui</v>
      </c>
    </row>
    <row r="364" customFormat="false" ht="15" hidden="false" customHeight="false" outlineLevel="0" collapsed="false">
      <c r="A364" s="25" t="s">
        <v>174</v>
      </c>
      <c r="B364" s="25" t="s">
        <v>92</v>
      </c>
      <c r="C364" s="34" t="n">
        <v>500</v>
      </c>
      <c r="D364" s="25" t="str">
        <f aca="false">IF($B364="","",IF(F364="kg","g",IF(F364="L","ml",F364)))</f>
        <v>g</v>
      </c>
      <c r="E364" s="27" t="n">
        <f aca="false">IF($B364="","",IFERROR(INDEX('Liste des ingrédients'!$H$5:$H$98,MATCH($B364,'Liste des ingrédients'!$B$5:$B$98,0)),0))</f>
        <v>2.5</v>
      </c>
      <c r="F364" s="25" t="str">
        <f aca="false">IF($B364="","",IFERROR(INDEX('Liste des ingrédients'!$G$5:$G$98,MATCH($B364,'Liste des ingrédients'!$B$5:$B$98,0)),"?"))</f>
        <v>kg</v>
      </c>
      <c r="G364" s="27" t="n">
        <f aca="false">IF(OR($B364="",$C364=""),0,IFERROR($C364*E364/IF(OR(F364="kg",F364="L"),1000,1),0))</f>
        <v>1.25</v>
      </c>
      <c r="H364" s="25" t="str">
        <f aca="false">IF(AND($A364&lt;&gt;"",$A364='Fiche plat'!$C$3),COUNTIF($A$5:$A364,'Fiche plat'!$C$3),"")</f>
        <v/>
      </c>
      <c r="I364" s="0" t="str">
        <f aca="false">IF($A364="","",IFERROR(INDEX(Plats!$D$5:$D$48,MATCH($A364,Plats!$I$5:$I$48,0)),""))</f>
        <v>Oui</v>
      </c>
    </row>
    <row r="365" customFormat="false" ht="15" hidden="false" customHeight="false" outlineLevel="0" collapsed="false">
      <c r="A365" s="25" t="s">
        <v>174</v>
      </c>
      <c r="B365" s="25" t="s">
        <v>101</v>
      </c>
      <c r="C365" s="34" t="n">
        <v>90</v>
      </c>
      <c r="D365" s="25" t="str">
        <f aca="false">IF($B365="","",IF(F365="kg","g",IF(F365="L","ml",F365)))</f>
        <v>ml</v>
      </c>
      <c r="E365" s="27" t="n">
        <f aca="false">IF($B365="","",IFERROR(INDEX('Liste des ingrédients'!$H$5:$H$98,MATCH($B365,'Liste des ingrédients'!$B$5:$B$98,0)),0))</f>
        <v>12.5</v>
      </c>
      <c r="F365" s="25" t="str">
        <f aca="false">IF($B365="","",IFERROR(INDEX('Liste des ingrédients'!$G$5:$G$98,MATCH($B365,'Liste des ingrédients'!$B$5:$B$98,0)),"?"))</f>
        <v>L</v>
      </c>
      <c r="G365" s="27" t="n">
        <f aca="false">IF(OR($B365="",$C365=""),0,IFERROR($C365*E365/IF(OR(F365="kg",F365="L"),1000,1),0))</f>
        <v>1.125</v>
      </c>
      <c r="H365" s="25" t="str">
        <f aca="false">IF(AND($A365&lt;&gt;"",$A365='Fiche plat'!$C$3),COUNTIF($A$5:$A365,'Fiche plat'!$C$3),"")</f>
        <v/>
      </c>
      <c r="I365" s="0" t="str">
        <f aca="false">IF($A365="","",IFERROR(INDEX(Plats!$D$5:$D$48,MATCH($A365,Plats!$I$5:$I$48,0)),""))</f>
        <v>Oui</v>
      </c>
    </row>
    <row r="366" customFormat="false" ht="15" hidden="false" customHeight="false" outlineLevel="0" collapsed="false">
      <c r="A366" s="25" t="s">
        <v>174</v>
      </c>
      <c r="B366" s="25" t="s">
        <v>157</v>
      </c>
      <c r="C366" s="34" t="n">
        <v>500</v>
      </c>
      <c r="D366" s="25" t="str">
        <f aca="false">IF($B366="","",IF(F366="kg","g",IF(F366="L","ml",F366)))</f>
        <v>g</v>
      </c>
      <c r="E366" s="27" t="n">
        <f aca="false">IF($B366="","",IFERROR(INDEX('Liste des ingrédients'!$H$5:$H$98,MATCH($B366,'Liste des ingrédients'!$B$5:$B$98,0)),0))</f>
        <v>45</v>
      </c>
      <c r="F366" s="25" t="str">
        <f aca="false">IF($B366="","",IFERROR(INDEX('Liste des ingrédients'!$G$5:$G$98,MATCH($B366,'Liste des ingrédients'!$B$5:$B$98,0)),"?"))</f>
        <v>kg</v>
      </c>
      <c r="G366" s="27" t="n">
        <f aca="false">IF(OR($B366="",$C366=""),0,IFERROR($C366*E366/IF(OR(F366="kg",F366="L"),1000,1),0))</f>
        <v>22.5</v>
      </c>
      <c r="H366" s="25" t="str">
        <f aca="false">IF(AND($A366&lt;&gt;"",$A366='Fiche plat'!$C$3),COUNTIF($A$5:$A366,'Fiche plat'!$C$3),"")</f>
        <v/>
      </c>
      <c r="I366" s="0" t="str">
        <f aca="false">IF($A366="","",IFERROR(INDEX(Plats!$D$5:$D$48,MATCH($A366,Plats!$I$5:$I$48,0)),""))</f>
        <v>Oui</v>
      </c>
    </row>
    <row r="367" customFormat="false" ht="15" hidden="false" customHeight="false" outlineLevel="0" collapsed="false">
      <c r="A367" s="25" t="s">
        <v>174</v>
      </c>
      <c r="B367" s="25" t="s">
        <v>130</v>
      </c>
      <c r="C367" s="34" t="n">
        <v>0</v>
      </c>
      <c r="D367" s="25" t="str">
        <f aca="false">IF($B367="","",IF(F367="kg","g",IF(F367="L","ml",F367)))</f>
        <v>g</v>
      </c>
      <c r="E367" s="27" t="n">
        <f aca="false">IF($B367="","",IFERROR(INDEX('Liste des ingrédients'!$H$5:$H$98,MATCH($B367,'Liste des ingrédients'!$B$5:$B$98,0)),0))</f>
        <v>40</v>
      </c>
      <c r="F367" s="25" t="str">
        <f aca="false">IF($B367="","",IFERROR(INDEX('Liste des ingrédients'!$G$5:$G$98,MATCH($B367,'Liste des ingrédients'!$B$5:$B$98,0)),"?"))</f>
        <v>kg</v>
      </c>
      <c r="G367" s="27" t="n">
        <f aca="false">IF(OR($B367="",$C367=""),0,IFERROR($C367*E367/IF(OR(F367="kg",F367="L"),1000,1),0))</f>
        <v>0</v>
      </c>
      <c r="H367" s="25" t="str">
        <f aca="false">IF(AND($A367&lt;&gt;"",$A367='Fiche plat'!$C$3),COUNTIF($A$5:$A367,'Fiche plat'!$C$3),"")</f>
        <v/>
      </c>
      <c r="I367" s="0" t="str">
        <f aca="false">IF($A367="","",IFERROR(INDEX(Plats!$D$5:$D$48,MATCH($A367,Plats!$I$5:$I$48,0)),""))</f>
        <v>Oui</v>
      </c>
    </row>
    <row r="368" customFormat="false" ht="15" hidden="false" customHeight="false" outlineLevel="0" collapsed="false">
      <c r="A368" s="25" t="s">
        <v>174</v>
      </c>
      <c r="B368" s="25" t="s">
        <v>110</v>
      </c>
      <c r="C368" s="34" t="n">
        <v>4</v>
      </c>
      <c r="D368" s="25" t="str">
        <f aca="false">IF($B368="","",IF(F368="kg","g",IF(F368="L","ml",F368)))</f>
        <v>œuf</v>
      </c>
      <c r="E368" s="27" t="n">
        <f aca="false">IF($B368="","",IFERROR(INDEX('Liste des ingrédients'!$H$5:$H$98,MATCH($B368,'Liste des ingrédients'!$B$5:$B$98,0)),0))</f>
        <v>0.3</v>
      </c>
      <c r="F368" s="25" t="str">
        <f aca="false">IF($B368="","",IFERROR(INDEX('Liste des ingrédients'!$G$5:$G$98,MATCH($B368,'Liste des ingrédients'!$B$5:$B$98,0)),"?"))</f>
        <v>œuf</v>
      </c>
      <c r="G368" s="27" t="n">
        <f aca="false">IF(OR($B368="",$C368=""),0,IFERROR($C368*E368/IF(OR(F368="kg",F368="L"),1000,1),0))</f>
        <v>1.2</v>
      </c>
      <c r="H368" s="25" t="str">
        <f aca="false">IF(AND($A368&lt;&gt;"",$A368='Fiche plat'!$C$3),COUNTIF($A$5:$A368,'Fiche plat'!$C$3),"")</f>
        <v/>
      </c>
      <c r="I368" s="0" t="str">
        <f aca="false">IF($A368="","",IFERROR(INDEX(Plats!$D$5:$D$48,MATCH($A368,Plats!$I$5:$I$48,0)),""))</f>
        <v>Oui</v>
      </c>
    </row>
    <row r="369" customFormat="false" ht="15" hidden="false" customHeight="false" outlineLevel="0" collapsed="false">
      <c r="A369" s="25" t="s">
        <v>174</v>
      </c>
      <c r="B369" s="25" t="s">
        <v>93</v>
      </c>
      <c r="C369" s="34" t="n">
        <v>100</v>
      </c>
      <c r="D369" s="25" t="str">
        <f aca="false">IF($B369="","",IF(F369="kg","g",IF(F369="L","ml",F369)))</f>
        <v>g</v>
      </c>
      <c r="E369" s="27" t="n">
        <f aca="false">IF($B369="","",IFERROR(INDEX('Liste des ingrédients'!$H$5:$H$98,MATCH($B369,'Liste des ingrédients'!$B$5:$B$98,0)),0))</f>
        <v>1.2</v>
      </c>
      <c r="F369" s="25" t="str">
        <f aca="false">IF($B369="","",IFERROR(INDEX('Liste des ingrédients'!$G$5:$G$98,MATCH($B369,'Liste des ingrédients'!$B$5:$B$98,0)),"?"))</f>
        <v>kg</v>
      </c>
      <c r="G369" s="27" t="n">
        <f aca="false">IF(OR($B369="",$C369=""),0,IFERROR($C369*E369/IF(OR(F369="kg",F369="L"),1000,1),0))</f>
        <v>0.12</v>
      </c>
      <c r="H369" s="25" t="str">
        <f aca="false">IF(AND($A369&lt;&gt;"",$A369='Fiche plat'!$C$3),COUNTIF($A$5:$A369,'Fiche plat'!$C$3),"")</f>
        <v/>
      </c>
      <c r="I369" s="0" t="str">
        <f aca="false">IF($A369="","",IFERROR(INDEX(Plats!$D$5:$D$48,MATCH($A369,Plats!$I$5:$I$48,0)),""))</f>
        <v>Oui</v>
      </c>
    </row>
    <row r="370" customFormat="false" ht="15" hidden="false" customHeight="false" outlineLevel="0" collapsed="false">
      <c r="A370" s="25" t="s">
        <v>174</v>
      </c>
      <c r="B370" s="25" t="s">
        <v>116</v>
      </c>
      <c r="C370" s="34" t="n">
        <v>0.25</v>
      </c>
      <c r="D370" s="25" t="str">
        <f aca="false">IF($B370="","",IF(F370="kg","g",IF(F370="L","ml",F370)))</f>
        <v>botte</v>
      </c>
      <c r="E370" s="27" t="n">
        <f aca="false">IF($B370="","",IFERROR(INDEX('Liste des ingrédients'!$H$5:$H$98,MATCH($B370,'Liste des ingrédients'!$B$5:$B$98,0)),0))</f>
        <v>0.8</v>
      </c>
      <c r="F370" s="25" t="str">
        <f aca="false">IF($B370="","",IFERROR(INDEX('Liste des ingrédients'!$G$5:$G$98,MATCH($B370,'Liste des ingrédients'!$B$5:$B$98,0)),"?"))</f>
        <v>botte</v>
      </c>
      <c r="G370" s="27" t="n">
        <f aca="false">IF(OR($B370="",$C370=""),0,IFERROR($C370*E370/IF(OR(F370="kg",F370="L"),1000,1),0))</f>
        <v>0.2</v>
      </c>
      <c r="H370" s="25" t="str">
        <f aca="false">IF(AND($A370&lt;&gt;"",$A370='Fiche plat'!$C$3),COUNTIF($A$5:$A370,'Fiche plat'!$C$3),"")</f>
        <v/>
      </c>
      <c r="I370" s="0" t="str">
        <f aca="false">IF($A370="","",IFERROR(INDEX(Plats!$D$5:$D$48,MATCH($A370,Plats!$I$5:$I$48,0)),""))</f>
        <v>Oui</v>
      </c>
    </row>
    <row r="371" customFormat="false" ht="15" hidden="false" customHeight="false" outlineLevel="0" collapsed="false">
      <c r="A371" s="25" t="s">
        <v>174</v>
      </c>
      <c r="B371" s="25" t="s">
        <v>109</v>
      </c>
      <c r="C371" s="34" t="n">
        <v>1</v>
      </c>
      <c r="D371" s="25" t="str">
        <f aca="false">IF($B371="","",IF(F371="kg","g",IF(F371="L","ml",F371)))</f>
        <v>boîte</v>
      </c>
      <c r="E371" s="27" t="n">
        <f aca="false">IF($B371="","",IFERROR(INDEX('Liste des ingrédients'!$H$5:$H$98,MATCH($B371,'Liste des ingrédients'!$B$5:$B$98,0)),0))</f>
        <v>4.5</v>
      </c>
      <c r="F371" s="25" t="str">
        <f aca="false">IF($B371="","",IFERROR(INDEX('Liste des ingrédients'!$G$5:$G$98,MATCH($B371,'Liste des ingrédients'!$B$5:$B$98,0)),"?"))</f>
        <v>boîte</v>
      </c>
      <c r="G371" s="27" t="n">
        <f aca="false">IF(OR($B371="",$C371=""),0,IFERROR($C371*E371/IF(OR(F371="kg",F371="L"),1000,1),0))</f>
        <v>4.5</v>
      </c>
      <c r="H371" s="25" t="str">
        <f aca="false">IF(AND($A371&lt;&gt;"",$A371='Fiche plat'!$C$3),COUNTIF($A$5:$A371,'Fiche plat'!$C$3),"")</f>
        <v/>
      </c>
      <c r="I371" s="0" t="str">
        <f aca="false">IF($A371="","",IFERROR(INDEX(Plats!$D$5:$D$48,MATCH($A371,Plats!$I$5:$I$48,0)),""))</f>
        <v>Oui</v>
      </c>
    </row>
    <row r="372" customFormat="false" ht="15" hidden="false" customHeight="false" outlineLevel="0" collapsed="false">
      <c r="A372" s="25" t="s">
        <v>174</v>
      </c>
      <c r="B372" s="25" t="s">
        <v>117</v>
      </c>
      <c r="C372" s="34" t="n">
        <v>2.5</v>
      </c>
      <c r="D372" s="25" t="str">
        <f aca="false">IF($B372="","",IF(F372="kg","g",IF(F372="L","ml",F372)))</f>
        <v>g</v>
      </c>
      <c r="E372" s="27" t="n">
        <f aca="false">IF($B372="","",IFERROR(INDEX('Liste des ingrédients'!$H$5:$H$98,MATCH($B372,'Liste des ingrédients'!$B$5:$B$98,0)),0))</f>
        <v>33</v>
      </c>
      <c r="F372" s="25" t="str">
        <f aca="false">IF($B372="","",IFERROR(INDEX('Liste des ingrédients'!$G$5:$G$98,MATCH($B372,'Liste des ingrédients'!$B$5:$B$98,0)),"?"))</f>
        <v>kg</v>
      </c>
      <c r="G372" s="27" t="n">
        <f aca="false">IF(OR($B372="",$C372=""),0,IFERROR($C372*E372/IF(OR(F372="kg",F372="L"),1000,1),0))</f>
        <v>0.0825</v>
      </c>
      <c r="H372" s="25" t="str">
        <f aca="false">IF(AND($A372&lt;&gt;"",$A372='Fiche plat'!$C$3),COUNTIF($A$5:$A372,'Fiche plat'!$C$3),"")</f>
        <v/>
      </c>
      <c r="I372" s="0" t="str">
        <f aca="false">IF($A372="","",IFERROR(INDEX(Plats!$D$5:$D$48,MATCH($A372,Plats!$I$5:$I$48,0)),""))</f>
        <v>Oui</v>
      </c>
    </row>
    <row r="373" customFormat="false" ht="15" hidden="false" customHeight="false" outlineLevel="0" collapsed="false">
      <c r="A373" s="25" t="s">
        <v>174</v>
      </c>
      <c r="B373" s="25" t="s">
        <v>124</v>
      </c>
      <c r="C373" s="34" t="n">
        <v>2.5</v>
      </c>
      <c r="D373" s="25" t="str">
        <f aca="false">IF($B373="","",IF(F373="kg","g",IF(F373="L","ml",F373)))</f>
        <v>g</v>
      </c>
      <c r="E373" s="27" t="n">
        <f aca="false">IF($B373="","",IFERROR(INDEX('Liste des ingrédients'!$H$5:$H$98,MATCH($B373,'Liste des ingrédients'!$B$5:$B$98,0)),0))</f>
        <v>40</v>
      </c>
      <c r="F373" s="25" t="str">
        <f aca="false">IF($B373="","",IFERROR(INDEX('Liste des ingrédients'!$G$5:$G$98,MATCH($B373,'Liste des ingrédients'!$B$5:$B$98,0)),"?"))</f>
        <v>kg</v>
      </c>
      <c r="G373" s="27" t="n">
        <f aca="false">IF(OR($B373="",$C373=""),0,IFERROR($C373*E373/IF(OR(F373="kg",F373="L"),1000,1),0))</f>
        <v>0.1</v>
      </c>
      <c r="H373" s="25" t="str">
        <f aca="false">IF(AND($A373&lt;&gt;"",$A373='Fiche plat'!$C$3),COUNTIF($A$5:$A373,'Fiche plat'!$C$3),"")</f>
        <v/>
      </c>
      <c r="I373" s="0" t="str">
        <f aca="false">IF($A373="","",IFERROR(INDEX(Plats!$D$5:$D$48,MATCH($A373,Plats!$I$5:$I$48,0)),""))</f>
        <v>Oui</v>
      </c>
    </row>
    <row r="374" customFormat="false" ht="15" hidden="false" customHeight="false" outlineLevel="0" collapsed="false">
      <c r="A374" s="25" t="s">
        <v>174</v>
      </c>
      <c r="B374" s="25" t="s">
        <v>102</v>
      </c>
      <c r="C374" s="34" t="n">
        <v>6</v>
      </c>
      <c r="D374" s="25" t="str">
        <f aca="false">IF($B374="","",IF(F374="kg","g",IF(F374="L","ml",F374)))</f>
        <v>g</v>
      </c>
      <c r="E374" s="27" t="n">
        <f aca="false">IF($B374="","",IFERROR(INDEX('Liste des ingrédients'!$H$5:$H$98,MATCH($B374,'Liste des ingrédients'!$B$5:$B$98,0)),0))</f>
        <v>0.8</v>
      </c>
      <c r="F374" s="25" t="str">
        <f aca="false">IF($B374="","",IFERROR(INDEX('Liste des ingrédients'!$G$5:$G$98,MATCH($B374,'Liste des ingrédients'!$B$5:$B$98,0)),"?"))</f>
        <v>kg</v>
      </c>
      <c r="G374" s="27" t="n">
        <f aca="false">IF(OR($B374="",$C374=""),0,IFERROR($C374*E374/IF(OR(F374="kg",F374="L"),1000,1),0))</f>
        <v>0.0048</v>
      </c>
      <c r="H374" s="25" t="str">
        <f aca="false">IF(AND($A374&lt;&gt;"",$A374='Fiche plat'!$C$3),COUNTIF($A$5:$A374,'Fiche plat'!$C$3),"")</f>
        <v/>
      </c>
      <c r="I374" s="0" t="str">
        <f aca="false">IF($A374="","",IFERROR(INDEX(Plats!$D$5:$D$48,MATCH($A374,Plats!$I$5:$I$48,0)),""))</f>
        <v>Oui</v>
      </c>
    </row>
    <row r="375" customFormat="false" ht="15" hidden="false" customHeight="false" outlineLevel="0" collapsed="false">
      <c r="A375" s="25" t="s">
        <v>174</v>
      </c>
      <c r="B375" s="25" t="s">
        <v>103</v>
      </c>
      <c r="C375" s="34" t="n">
        <v>1</v>
      </c>
      <c r="D375" s="25" t="str">
        <f aca="false">IF($B375="","",IF(F375="kg","g",IF(F375="L","ml",F375)))</f>
        <v>g</v>
      </c>
      <c r="E375" s="27" t="n">
        <f aca="false">IF($B375="","",IFERROR(INDEX('Liste des ingrédients'!$H$5:$H$98,MATCH($B375,'Liste des ingrédients'!$B$5:$B$98,0)),0))</f>
        <v>50</v>
      </c>
      <c r="F375" s="25" t="str">
        <f aca="false">IF($B375="","",IFERROR(INDEX('Liste des ingrédients'!$G$5:$G$98,MATCH($B375,'Liste des ingrédients'!$B$5:$B$98,0)),"?"))</f>
        <v>kg</v>
      </c>
      <c r="G375" s="27" t="n">
        <f aca="false">IF(OR($B375="",$C375=""),0,IFERROR($C375*E375/IF(OR(F375="kg",F375="L"),1000,1),0))</f>
        <v>0.05</v>
      </c>
      <c r="H375" s="25" t="str">
        <f aca="false">IF(AND($A375&lt;&gt;"",$A375='Fiche plat'!$C$3),COUNTIF($A$5:$A375,'Fiche plat'!$C$3),"")</f>
        <v/>
      </c>
      <c r="I375" s="0" t="str">
        <f aca="false">IF($A375="","",IFERROR(INDEX(Plats!$D$5:$D$48,MATCH($A375,Plats!$I$5:$I$48,0)),""))</f>
        <v>Oui</v>
      </c>
    </row>
    <row r="376" customFormat="false" ht="15" hidden="false" customHeight="false" outlineLevel="0" collapsed="false">
      <c r="A376" s="22" t="s">
        <v>175</v>
      </c>
      <c r="B376" s="22" t="s">
        <v>167</v>
      </c>
      <c r="C376" s="35" t="n">
        <v>150</v>
      </c>
      <c r="D376" s="22" t="str">
        <f aca="false">IF($B376="","",IF(F376="kg","g",IF(F376="L","ml",F376)))</f>
        <v>g</v>
      </c>
      <c r="E376" s="24" t="n">
        <f aca="false">IF($B376="","",IFERROR(INDEX('Liste des ingrédients'!$H$5:$H$98,MATCH($B376,'Liste des ingrédients'!$B$5:$B$98,0)),0))</f>
        <v>3.3</v>
      </c>
      <c r="F376" s="22" t="str">
        <f aca="false">IF($B376="","",IFERROR(INDEX('Liste des ingrédients'!$G$5:$G$98,MATCH($B376,'Liste des ingrédients'!$B$5:$B$98,0)),"?"))</f>
        <v>kg</v>
      </c>
      <c r="G376" s="24" t="n">
        <f aca="false">IF(OR($B376="",$C376=""),0,IFERROR($C376*E376/IF(OR(F376="kg",F376="L"),1000,1),0))</f>
        <v>0.495</v>
      </c>
      <c r="H376" s="22" t="str">
        <f aca="false">IF(AND($A376&lt;&gt;"",$A376='Fiche plat'!$C$3),COUNTIF($A$5:$A376,'Fiche plat'!$C$3),"")</f>
        <v/>
      </c>
      <c r="I376" s="0" t="str">
        <f aca="false">IF($A376="","",IFERROR(INDEX(Plats!$D$5:$D$48,MATCH($A376,Plats!$I$5:$I$48,0)),""))</f>
        <v>Oui</v>
      </c>
    </row>
    <row r="377" customFormat="false" ht="15" hidden="false" customHeight="false" outlineLevel="0" collapsed="false">
      <c r="A377" s="22" t="s">
        <v>175</v>
      </c>
      <c r="B377" s="22" t="s">
        <v>146</v>
      </c>
      <c r="C377" s="35" t="n">
        <v>500</v>
      </c>
      <c r="D377" s="22" t="str">
        <f aca="false">IF($B377="","",IF(F377="kg","g",IF(F377="L","ml",F377)))</f>
        <v>g</v>
      </c>
      <c r="E377" s="24" t="n">
        <f aca="false">IF($B377="","",IFERROR(INDEX('Liste des ingrédients'!$H$5:$H$98,MATCH($B377,'Liste des ingrédients'!$B$5:$B$98,0)),0))</f>
        <v>14.9</v>
      </c>
      <c r="F377" s="22" t="str">
        <f aca="false">IF($B377="","",IFERROR(INDEX('Liste des ingrédients'!$G$5:$G$98,MATCH($B377,'Liste des ingrédients'!$B$5:$B$98,0)),"?"))</f>
        <v>kg</v>
      </c>
      <c r="G377" s="24" t="n">
        <f aca="false">IF(OR($B377="",$C377=""),0,IFERROR($C377*E377/IF(OR(F377="kg",F377="L"),1000,1),0))</f>
        <v>7.45</v>
      </c>
      <c r="H377" s="22" t="str">
        <f aca="false">IF(AND($A377&lt;&gt;"",$A377='Fiche plat'!$C$3),COUNTIF($A$5:$A377,'Fiche plat'!$C$3),"")</f>
        <v/>
      </c>
      <c r="I377" s="0" t="str">
        <f aca="false">IF($A377="","",IFERROR(INDEX(Plats!$D$5:$D$48,MATCH($A377,Plats!$I$5:$I$48,0)),""))</f>
        <v>Oui</v>
      </c>
    </row>
    <row r="378" customFormat="false" ht="15" hidden="false" customHeight="false" outlineLevel="0" collapsed="false">
      <c r="A378" s="22" t="s">
        <v>175</v>
      </c>
      <c r="B378" s="22" t="s">
        <v>90</v>
      </c>
      <c r="C378" s="35" t="n">
        <v>200</v>
      </c>
      <c r="D378" s="22" t="str">
        <f aca="false">IF($B378="","",IF(F378="kg","g",IF(F378="L","ml",F378)))</f>
        <v>g</v>
      </c>
      <c r="E378" s="24" t="n">
        <f aca="false">IF($B378="","",IFERROR(INDEX('Liste des ingrédients'!$H$5:$H$98,MATCH($B378,'Liste des ingrédients'!$B$5:$B$98,0)),0))</f>
        <v>2.5</v>
      </c>
      <c r="F378" s="22" t="str">
        <f aca="false">IF($B378="","",IFERROR(INDEX('Liste des ingrédients'!$G$5:$G$98,MATCH($B378,'Liste des ingrédients'!$B$5:$B$98,0)),"?"))</f>
        <v>kg</v>
      </c>
      <c r="G378" s="24" t="n">
        <f aca="false">IF(OR($B378="",$C378=""),0,IFERROR($C378*E378/IF(OR(F378="kg",F378="L"),1000,1),0))</f>
        <v>0.5</v>
      </c>
      <c r="H378" s="22" t="str">
        <f aca="false">IF(AND($A378&lt;&gt;"",$A378='Fiche plat'!$C$3),COUNTIF($A$5:$A378,'Fiche plat'!$C$3),"")</f>
        <v/>
      </c>
      <c r="I378" s="0" t="str">
        <f aca="false">IF($A378="","",IFERROR(INDEX(Plats!$D$5:$D$48,MATCH($A378,Plats!$I$5:$I$48,0)),""))</f>
        <v>Oui</v>
      </c>
    </row>
    <row r="379" customFormat="false" ht="15" hidden="false" customHeight="false" outlineLevel="0" collapsed="false">
      <c r="A379" s="22" t="s">
        <v>175</v>
      </c>
      <c r="B379" s="22" t="s">
        <v>91</v>
      </c>
      <c r="C379" s="35" t="n">
        <v>150</v>
      </c>
      <c r="D379" s="22" t="str">
        <f aca="false">IF($B379="","",IF(F379="kg","g",IF(F379="L","ml",F379)))</f>
        <v>g</v>
      </c>
      <c r="E379" s="24" t="n">
        <f aca="false">IF($B379="","",IFERROR(INDEX('Liste des ingrédients'!$H$5:$H$98,MATCH($B379,'Liste des ingrédients'!$B$5:$B$98,0)),0))</f>
        <v>2</v>
      </c>
      <c r="F379" s="22" t="str">
        <f aca="false">IF($B379="","",IFERROR(INDEX('Liste des ingrédients'!$G$5:$G$98,MATCH($B379,'Liste des ingrédients'!$B$5:$B$98,0)),"?"))</f>
        <v>kg</v>
      </c>
      <c r="G379" s="24" t="n">
        <f aca="false">IF(OR($B379="",$C379=""),0,IFERROR($C379*E379/IF(OR(F379="kg",F379="L"),1000,1),0))</f>
        <v>0.3</v>
      </c>
      <c r="H379" s="22" t="str">
        <f aca="false">IF(AND($A379&lt;&gt;"",$A379='Fiche plat'!$C$3),COUNTIF($A$5:$A379,'Fiche plat'!$C$3),"")</f>
        <v/>
      </c>
      <c r="I379" s="0" t="str">
        <f aca="false">IF($A379="","",IFERROR(INDEX(Plats!$D$5:$D$48,MATCH($A379,Plats!$I$5:$I$48,0)),""))</f>
        <v>Oui</v>
      </c>
    </row>
    <row r="380" customFormat="false" ht="15" hidden="false" customHeight="false" outlineLevel="0" collapsed="false">
      <c r="A380" s="22" t="s">
        <v>175</v>
      </c>
      <c r="B380" s="22" t="s">
        <v>93</v>
      </c>
      <c r="C380" s="35" t="n">
        <v>100</v>
      </c>
      <c r="D380" s="22" t="str">
        <f aca="false">IF($B380="","",IF(F380="kg","g",IF(F380="L","ml",F380)))</f>
        <v>g</v>
      </c>
      <c r="E380" s="24" t="n">
        <f aca="false">IF($B380="","",IFERROR(INDEX('Liste des ingrédients'!$H$5:$H$98,MATCH($B380,'Liste des ingrédients'!$B$5:$B$98,0)),0))</f>
        <v>1.2</v>
      </c>
      <c r="F380" s="22" t="str">
        <f aca="false">IF($B380="","",IFERROR(INDEX('Liste des ingrédients'!$G$5:$G$98,MATCH($B380,'Liste des ingrédients'!$B$5:$B$98,0)),"?"))</f>
        <v>kg</v>
      </c>
      <c r="G380" s="24" t="n">
        <f aca="false">IF(OR($B380="",$C380=""),0,IFERROR($C380*E380/IF(OR(F380="kg",F380="L"),1000,1),0))</f>
        <v>0.12</v>
      </c>
      <c r="H380" s="22" t="str">
        <f aca="false">IF(AND($A380&lt;&gt;"",$A380='Fiche plat'!$C$3),COUNTIF($A$5:$A380,'Fiche plat'!$C$3),"")</f>
        <v/>
      </c>
      <c r="I380" s="0" t="str">
        <f aca="false">IF($A380="","",IFERROR(INDEX(Plats!$D$5:$D$48,MATCH($A380,Plats!$I$5:$I$48,0)),""))</f>
        <v>Oui</v>
      </c>
    </row>
    <row r="381" customFormat="false" ht="15" hidden="false" customHeight="false" outlineLevel="0" collapsed="false">
      <c r="A381" s="22" t="s">
        <v>175</v>
      </c>
      <c r="B381" s="22" t="s">
        <v>123</v>
      </c>
      <c r="C381" s="35" t="n">
        <v>0.25</v>
      </c>
      <c r="D381" s="22" t="str">
        <f aca="false">IF($B381="","",IF(F381="kg","g",IF(F381="L","ml",F381)))</f>
        <v>botte</v>
      </c>
      <c r="E381" s="24" t="n">
        <f aca="false">IF($B381="","",IFERROR(INDEX('Liste des ingrédients'!$H$5:$H$98,MATCH($B381,'Liste des ingrédients'!$B$5:$B$98,0)),0))</f>
        <v>1</v>
      </c>
      <c r="F381" s="22" t="str">
        <f aca="false">IF($B381="","",IFERROR(INDEX('Liste des ingrédients'!$G$5:$G$98,MATCH($B381,'Liste des ingrédients'!$B$5:$B$98,0)),"?"))</f>
        <v>botte</v>
      </c>
      <c r="G381" s="24" t="n">
        <f aca="false">IF(OR($B381="",$C381=""),0,IFERROR($C381*E381/IF(OR(F381="kg",F381="L"),1000,1),0))</f>
        <v>0.25</v>
      </c>
      <c r="H381" s="22" t="str">
        <f aca="false">IF(AND($A381&lt;&gt;"",$A381='Fiche plat'!$C$3),COUNTIF($A$5:$A381,'Fiche plat'!$C$3),"")</f>
        <v/>
      </c>
      <c r="I381" s="0" t="str">
        <f aca="false">IF($A381="","",IFERROR(INDEX(Plats!$D$5:$D$48,MATCH($A381,Plats!$I$5:$I$48,0)),""))</f>
        <v>Oui</v>
      </c>
    </row>
    <row r="382" customFormat="false" ht="15" hidden="false" customHeight="false" outlineLevel="0" collapsed="false">
      <c r="A382" s="22" t="s">
        <v>175</v>
      </c>
      <c r="B382" s="22" t="s">
        <v>116</v>
      </c>
      <c r="C382" s="35" t="n">
        <v>0.5</v>
      </c>
      <c r="D382" s="22" t="str">
        <f aca="false">IF($B382="","",IF(F382="kg","g",IF(F382="L","ml",F382)))</f>
        <v>botte</v>
      </c>
      <c r="E382" s="24" t="n">
        <f aca="false">IF($B382="","",IFERROR(INDEX('Liste des ingrédients'!$H$5:$H$98,MATCH($B382,'Liste des ingrédients'!$B$5:$B$98,0)),0))</f>
        <v>0.8</v>
      </c>
      <c r="F382" s="22" t="str">
        <f aca="false">IF($B382="","",IFERROR(INDEX('Liste des ingrédients'!$G$5:$G$98,MATCH($B382,'Liste des ingrédients'!$B$5:$B$98,0)),"?"))</f>
        <v>botte</v>
      </c>
      <c r="G382" s="24" t="n">
        <f aca="false">IF(OR($B382="",$C382=""),0,IFERROR($C382*E382/IF(OR(F382="kg",F382="L"),1000,1),0))</f>
        <v>0.4</v>
      </c>
      <c r="H382" s="22" t="str">
        <f aca="false">IF(AND($A382&lt;&gt;"",$A382='Fiche plat'!$C$3),COUNTIF($A$5:$A382,'Fiche plat'!$C$3),"")</f>
        <v/>
      </c>
      <c r="I382" s="0" t="str">
        <f aca="false">IF($A382="","",IFERROR(INDEX(Plats!$D$5:$D$48,MATCH($A382,Plats!$I$5:$I$48,0)),""))</f>
        <v>Oui</v>
      </c>
    </row>
    <row r="383" customFormat="false" ht="15" hidden="false" customHeight="false" outlineLevel="0" collapsed="false">
      <c r="A383" s="22" t="s">
        <v>175</v>
      </c>
      <c r="B383" s="22" t="s">
        <v>97</v>
      </c>
      <c r="C383" s="35" t="n">
        <v>15</v>
      </c>
      <c r="D383" s="22" t="str">
        <f aca="false">IF($B383="","",IF(F383="kg","g",IF(F383="L","ml",F383)))</f>
        <v>g</v>
      </c>
      <c r="E383" s="24" t="n">
        <f aca="false">IF($B383="","",IFERROR(INDEX('Liste des ingrédients'!$H$5:$H$98,MATCH($B383,'Liste des ingrédients'!$B$5:$B$98,0)),0))</f>
        <v>15</v>
      </c>
      <c r="F383" s="22" t="str">
        <f aca="false">IF($B383="","",IFERROR(INDEX('Liste des ingrédients'!$G$5:$G$98,MATCH($B383,'Liste des ingrédients'!$B$5:$B$98,0)),"?"))</f>
        <v>kg</v>
      </c>
      <c r="G383" s="24" t="n">
        <f aca="false">IF(OR($B383="",$C383=""),0,IFERROR($C383*E383/IF(OR(F383="kg",F383="L"),1000,1),0))</f>
        <v>0.225</v>
      </c>
      <c r="H383" s="22" t="str">
        <f aca="false">IF(AND($A383&lt;&gt;"",$A383='Fiche plat'!$C$3),COUNTIF($A$5:$A383,'Fiche plat'!$C$3),"")</f>
        <v/>
      </c>
      <c r="I383" s="0" t="str">
        <f aca="false">IF($A383="","",IFERROR(INDEX(Plats!$D$5:$D$48,MATCH($A383,Plats!$I$5:$I$48,0)),""))</f>
        <v>Oui</v>
      </c>
    </row>
    <row r="384" customFormat="false" ht="15" hidden="false" customHeight="false" outlineLevel="0" collapsed="false">
      <c r="A384" s="22" t="s">
        <v>175</v>
      </c>
      <c r="B384" s="22" t="s">
        <v>95</v>
      </c>
      <c r="C384" s="35" t="n">
        <v>40</v>
      </c>
      <c r="D384" s="22" t="str">
        <f aca="false">IF($B384="","",IF(F384="kg","g",IF(F384="L","ml",F384)))</f>
        <v>g</v>
      </c>
      <c r="E384" s="24" t="n">
        <f aca="false">IF($B384="","",IFERROR(INDEX('Liste des ingrédients'!$H$5:$H$98,MATCH($B384,'Liste des ingrédients'!$B$5:$B$98,0)),0))</f>
        <v>9</v>
      </c>
      <c r="F384" s="22" t="str">
        <f aca="false">IF($B384="","",IFERROR(INDEX('Liste des ingrédients'!$G$5:$G$98,MATCH($B384,'Liste des ingrédients'!$B$5:$B$98,0)),"?"))</f>
        <v>kg</v>
      </c>
      <c r="G384" s="24" t="n">
        <f aca="false">IF(OR($B384="",$C384=""),0,IFERROR($C384*E384/IF(OR(F384="kg",F384="L"),1000,1),0))</f>
        <v>0.36</v>
      </c>
      <c r="H384" s="22" t="str">
        <f aca="false">IF(AND($A384&lt;&gt;"",$A384='Fiche plat'!$C$3),COUNTIF($A$5:$A384,'Fiche plat'!$C$3),"")</f>
        <v/>
      </c>
      <c r="I384" s="0" t="str">
        <f aca="false">IF($A384="","",IFERROR(INDEX(Plats!$D$5:$D$48,MATCH($A384,Plats!$I$5:$I$48,0)),""))</f>
        <v>Oui</v>
      </c>
    </row>
    <row r="385" customFormat="false" ht="15" hidden="false" customHeight="false" outlineLevel="0" collapsed="false">
      <c r="A385" s="22" t="s">
        <v>175</v>
      </c>
      <c r="B385" s="22" t="s">
        <v>98</v>
      </c>
      <c r="C385" s="35" t="n">
        <v>3</v>
      </c>
      <c r="D385" s="22" t="str">
        <f aca="false">IF($B385="","",IF(F385="kg","g",IF(F385="L","ml",F385)))</f>
        <v>g</v>
      </c>
      <c r="E385" s="24" t="n">
        <f aca="false">IF($B385="","",IFERROR(INDEX('Liste des ingrédients'!$H$5:$H$98,MATCH($B385,'Liste des ingrédients'!$B$5:$B$98,0)),0))</f>
        <v>40</v>
      </c>
      <c r="F385" s="22" t="str">
        <f aca="false">IF($B385="","",IFERROR(INDEX('Liste des ingrédients'!$G$5:$G$98,MATCH($B385,'Liste des ingrédients'!$B$5:$B$98,0)),"?"))</f>
        <v>kg</v>
      </c>
      <c r="G385" s="24" t="n">
        <f aca="false">IF(OR($B385="",$C385=""),0,IFERROR($C385*E385/IF(OR(F385="kg",F385="L"),1000,1),0))</f>
        <v>0.12</v>
      </c>
      <c r="H385" s="22" t="str">
        <f aca="false">IF(AND($A385&lt;&gt;"",$A385='Fiche plat'!$C$3),COUNTIF($A$5:$A385,'Fiche plat'!$C$3),"")</f>
        <v/>
      </c>
      <c r="I385" s="0" t="str">
        <f aca="false">IF($A385="","",IFERROR(INDEX(Plats!$D$5:$D$48,MATCH($A385,Plats!$I$5:$I$48,0)),""))</f>
        <v>Oui</v>
      </c>
    </row>
    <row r="386" customFormat="false" ht="15" hidden="false" customHeight="false" outlineLevel="0" collapsed="false">
      <c r="A386" s="22" t="s">
        <v>175</v>
      </c>
      <c r="B386" s="22" t="s">
        <v>117</v>
      </c>
      <c r="C386" s="35" t="n">
        <v>2.5</v>
      </c>
      <c r="D386" s="22" t="str">
        <f aca="false">IF($B386="","",IF(F386="kg","g",IF(F386="L","ml",F386)))</f>
        <v>g</v>
      </c>
      <c r="E386" s="24" t="n">
        <f aca="false">IF($B386="","",IFERROR(INDEX('Liste des ingrédients'!$H$5:$H$98,MATCH($B386,'Liste des ingrédients'!$B$5:$B$98,0)),0))</f>
        <v>33</v>
      </c>
      <c r="F386" s="22" t="str">
        <f aca="false">IF($B386="","",IFERROR(INDEX('Liste des ingrédients'!$G$5:$G$98,MATCH($B386,'Liste des ingrédients'!$B$5:$B$98,0)),"?"))</f>
        <v>kg</v>
      </c>
      <c r="G386" s="24" t="n">
        <f aca="false">IF(OR($B386="",$C386=""),0,IFERROR($C386*E386/IF(OR(F386="kg",F386="L"),1000,1),0))</f>
        <v>0.0825</v>
      </c>
      <c r="H386" s="22" t="str">
        <f aca="false">IF(AND($A386&lt;&gt;"",$A386='Fiche plat'!$C$3),COUNTIF($A$5:$A386,'Fiche plat'!$C$3),"")</f>
        <v/>
      </c>
      <c r="I386" s="0" t="str">
        <f aca="false">IF($A386="","",IFERROR(INDEX(Plats!$D$5:$D$48,MATCH($A386,Plats!$I$5:$I$48,0)),""))</f>
        <v>Oui</v>
      </c>
    </row>
    <row r="387" customFormat="false" ht="15" hidden="false" customHeight="false" outlineLevel="0" collapsed="false">
      <c r="A387" s="22" t="s">
        <v>175</v>
      </c>
      <c r="B387" s="22" t="s">
        <v>125</v>
      </c>
      <c r="C387" s="35" t="n">
        <v>1</v>
      </c>
      <c r="D387" s="22" t="str">
        <f aca="false">IF($B387="","",IF(F387="kg","g",IF(F387="L","ml",F387)))</f>
        <v>g</v>
      </c>
      <c r="E387" s="24" t="n">
        <f aca="false">IF($B387="","",IFERROR(INDEX('Liste des ingrédients'!$H$5:$H$98,MATCH($B387,'Liste des ingrédients'!$B$5:$B$98,0)),0))</f>
        <v>50</v>
      </c>
      <c r="F387" s="22" t="str">
        <f aca="false">IF($B387="","",IFERROR(INDEX('Liste des ingrédients'!$G$5:$G$98,MATCH($B387,'Liste des ingrédients'!$B$5:$B$98,0)),"?"))</f>
        <v>kg</v>
      </c>
      <c r="G387" s="24" t="n">
        <f aca="false">IF(OR($B387="",$C387=""),0,IFERROR($C387*E387/IF(OR(F387="kg",F387="L"),1000,1),0))</f>
        <v>0.05</v>
      </c>
      <c r="H387" s="22" t="str">
        <f aca="false">IF(AND($A387&lt;&gt;"",$A387='Fiche plat'!$C$3),COUNTIF($A$5:$A387,'Fiche plat'!$C$3),"")</f>
        <v/>
      </c>
      <c r="I387" s="0" t="str">
        <f aca="false">IF($A387="","",IFERROR(INDEX(Plats!$D$5:$D$48,MATCH($A387,Plats!$I$5:$I$48,0)),""))</f>
        <v>Oui</v>
      </c>
    </row>
    <row r="388" customFormat="false" ht="15" hidden="false" customHeight="false" outlineLevel="0" collapsed="false">
      <c r="A388" s="22" t="s">
        <v>175</v>
      </c>
      <c r="B388" s="22" t="s">
        <v>101</v>
      </c>
      <c r="C388" s="35" t="n">
        <v>60</v>
      </c>
      <c r="D388" s="22" t="str">
        <f aca="false">IF($B388="","",IF(F388="kg","g",IF(F388="L","ml",F388)))</f>
        <v>ml</v>
      </c>
      <c r="E388" s="24" t="n">
        <f aca="false">IF($B388="","",IFERROR(INDEX('Liste des ingrédients'!$H$5:$H$98,MATCH($B388,'Liste des ingrédients'!$B$5:$B$98,0)),0))</f>
        <v>12.5</v>
      </c>
      <c r="F388" s="22" t="str">
        <f aca="false">IF($B388="","",IFERROR(INDEX('Liste des ingrédients'!$G$5:$G$98,MATCH($B388,'Liste des ingrédients'!$B$5:$B$98,0)),"?"))</f>
        <v>L</v>
      </c>
      <c r="G388" s="24" t="n">
        <f aca="false">IF(OR($B388="",$C388=""),0,IFERROR($C388*E388/IF(OR(F388="kg",F388="L"),1000,1),0))</f>
        <v>0.75</v>
      </c>
      <c r="H388" s="22" t="str">
        <f aca="false">IF(AND($A388&lt;&gt;"",$A388='Fiche plat'!$C$3),COUNTIF($A$5:$A388,'Fiche plat'!$C$3),"")</f>
        <v/>
      </c>
      <c r="I388" s="0" t="str">
        <f aca="false">IF($A388="","",IFERROR(INDEX(Plats!$D$5:$D$48,MATCH($A388,Plats!$I$5:$I$48,0)),""))</f>
        <v>Oui</v>
      </c>
    </row>
    <row r="389" customFormat="false" ht="15" hidden="false" customHeight="false" outlineLevel="0" collapsed="false">
      <c r="A389" s="22" t="s">
        <v>175</v>
      </c>
      <c r="B389" s="22" t="s">
        <v>102</v>
      </c>
      <c r="C389" s="35" t="n">
        <v>9</v>
      </c>
      <c r="D389" s="22" t="str">
        <f aca="false">IF($B389="","",IF(F389="kg","g",IF(F389="L","ml",F389)))</f>
        <v>g</v>
      </c>
      <c r="E389" s="24" t="n">
        <f aca="false">IF($B389="","",IFERROR(INDEX('Liste des ingrédients'!$H$5:$H$98,MATCH($B389,'Liste des ingrédients'!$B$5:$B$98,0)),0))</f>
        <v>0.8</v>
      </c>
      <c r="F389" s="22" t="str">
        <f aca="false">IF($B389="","",IFERROR(INDEX('Liste des ingrédients'!$G$5:$G$98,MATCH($B389,'Liste des ingrédients'!$B$5:$B$98,0)),"?"))</f>
        <v>kg</v>
      </c>
      <c r="G389" s="24" t="n">
        <f aca="false">IF(OR($B389="",$C389=""),0,IFERROR($C389*E389/IF(OR(F389="kg",F389="L"),1000,1),0))</f>
        <v>0.0072</v>
      </c>
      <c r="H389" s="22" t="str">
        <f aca="false">IF(AND($A389&lt;&gt;"",$A389='Fiche plat'!$C$3),COUNTIF($A$5:$A389,'Fiche plat'!$C$3),"")</f>
        <v/>
      </c>
      <c r="I389" s="0" t="str">
        <f aca="false">IF($A389="","",IFERROR(INDEX(Plats!$D$5:$D$48,MATCH($A389,Plats!$I$5:$I$48,0)),""))</f>
        <v>Oui</v>
      </c>
    </row>
    <row r="390" customFormat="false" ht="15" hidden="false" customHeight="false" outlineLevel="0" collapsed="false">
      <c r="A390" s="22" t="s">
        <v>175</v>
      </c>
      <c r="B390" s="22" t="s">
        <v>103</v>
      </c>
      <c r="C390" s="35" t="n">
        <v>1</v>
      </c>
      <c r="D390" s="22" t="str">
        <f aca="false">IF($B390="","",IF(F390="kg","g",IF(F390="L","ml",F390)))</f>
        <v>g</v>
      </c>
      <c r="E390" s="24" t="n">
        <f aca="false">IF($B390="","",IFERROR(INDEX('Liste des ingrédients'!$H$5:$H$98,MATCH($B390,'Liste des ingrédients'!$B$5:$B$98,0)),0))</f>
        <v>50</v>
      </c>
      <c r="F390" s="22" t="str">
        <f aca="false">IF($B390="","",IFERROR(INDEX('Liste des ingrédients'!$G$5:$G$98,MATCH($B390,'Liste des ingrédients'!$B$5:$B$98,0)),"?"))</f>
        <v>kg</v>
      </c>
      <c r="G390" s="24" t="n">
        <f aca="false">IF(OR($B390="",$C390=""),0,IFERROR($C390*E390/IF(OR(F390="kg",F390="L"),1000,1),0))</f>
        <v>0.05</v>
      </c>
      <c r="H390" s="22" t="str">
        <f aca="false">IF(AND($A390&lt;&gt;"",$A390='Fiche plat'!$C$3),COUNTIF($A$5:$A390,'Fiche plat'!$C$3),"")</f>
        <v/>
      </c>
      <c r="I390" s="0" t="str">
        <f aca="false">IF($A390="","",IFERROR(INDEX(Plats!$D$5:$D$48,MATCH($A390,Plats!$I$5:$I$48,0)),""))</f>
        <v>Oui</v>
      </c>
    </row>
    <row r="391" customFormat="false" ht="15" hidden="false" customHeight="false" outlineLevel="0" collapsed="false">
      <c r="A391" s="22" t="s">
        <v>175</v>
      </c>
      <c r="B391" s="22" t="s">
        <v>104</v>
      </c>
      <c r="C391" s="35" t="n">
        <v>100</v>
      </c>
      <c r="D391" s="22" t="str">
        <f aca="false">IF($B391="","",IF(F391="kg","g",IF(F391="L","ml",F391)))</f>
        <v>g</v>
      </c>
      <c r="E391" s="24" t="n">
        <f aca="false">IF($B391="","",IFERROR(INDEX('Liste des ingrédients'!$H$5:$H$98,MATCH($B391,'Liste des ingrédients'!$B$5:$B$98,0)),0))</f>
        <v>3</v>
      </c>
      <c r="F391" s="22" t="str">
        <f aca="false">IF($B391="","",IFERROR(INDEX('Liste des ingrédients'!$G$5:$G$98,MATCH($B391,'Liste des ingrédients'!$B$5:$B$98,0)),"?"))</f>
        <v>kg</v>
      </c>
      <c r="G391" s="24" t="n">
        <f aca="false">IF(OR($B391="",$C391=""),0,IFERROR($C391*E391/IF(OR(F391="kg",F391="L"),1000,1),0))</f>
        <v>0.3</v>
      </c>
      <c r="H391" s="22" t="str">
        <f aca="false">IF(AND($A391&lt;&gt;"",$A391='Fiche plat'!$C$3),COUNTIF($A$5:$A391,'Fiche plat'!$C$3),"")</f>
        <v/>
      </c>
      <c r="I391" s="0" t="str">
        <f aca="false">IF($A391="","",IFERROR(INDEX(Plats!$D$5:$D$48,MATCH($A391,Plats!$I$5:$I$48,0)),""))</f>
        <v>Oui</v>
      </c>
    </row>
    <row r="392" customFormat="false" ht="15" hidden="false" customHeight="false" outlineLevel="0" collapsed="false">
      <c r="A392" s="25" t="s">
        <v>176</v>
      </c>
      <c r="B392" s="25" t="s">
        <v>177</v>
      </c>
      <c r="C392" s="34" t="n">
        <v>3000</v>
      </c>
      <c r="D392" s="25" t="str">
        <f aca="false">IF($B392="","",IF(F392="kg","g",IF(F392="L","ml",F392)))</f>
        <v>g</v>
      </c>
      <c r="E392" s="27" t="n">
        <f aca="false">IF($B392="","",IFERROR(INDEX('Liste des ingrédients'!$H$5:$H$98,MATCH($B392,'Liste des ingrédients'!$B$5:$B$98,0)),0))</f>
        <v>3.99</v>
      </c>
      <c r="F392" s="25" t="str">
        <f aca="false">IF($B392="","",IFERROR(INDEX('Liste des ingrédients'!$G$5:$G$98,MATCH($B392,'Liste des ingrédients'!$B$5:$B$98,0)),"?"))</f>
        <v>kg</v>
      </c>
      <c r="G392" s="27" t="n">
        <f aca="false">IF(OR($B392="",$C392=""),0,IFERROR($C392*E392/IF(OR(F392="kg",F392="L"),1000,1),0))</f>
        <v>11.97</v>
      </c>
      <c r="H392" s="25" t="str">
        <f aca="false">IF(AND($A392&lt;&gt;"",$A392='Fiche plat'!$C$3),COUNTIF($A$5:$A392,'Fiche plat'!$C$3),"")</f>
        <v/>
      </c>
      <c r="I392" s="0" t="str">
        <f aca="false">IF($A392="","",IFERROR(INDEX(Plats!$D$5:$D$48,MATCH($A392,Plats!$I$5:$I$48,0)),""))</f>
        <v>Oui</v>
      </c>
    </row>
    <row r="393" customFormat="false" ht="15" hidden="false" customHeight="false" outlineLevel="0" collapsed="false">
      <c r="A393" s="25" t="s">
        <v>176</v>
      </c>
      <c r="B393" s="25" t="s">
        <v>178</v>
      </c>
      <c r="C393" s="34" t="n">
        <v>2000</v>
      </c>
      <c r="D393" s="25" t="str">
        <f aca="false">IF($B393="","",IF(F393="kg","g",IF(F393="L","ml",F393)))</f>
        <v>g</v>
      </c>
      <c r="E393" s="27" t="n">
        <f aca="false">IF($B393="","",IFERROR(INDEX('Liste des ingrédients'!$H$5:$H$98,MATCH($B393,'Liste des ingrédients'!$B$5:$B$98,0)),0))</f>
        <v>3.99</v>
      </c>
      <c r="F393" s="25" t="str">
        <f aca="false">IF($B393="","",IFERROR(INDEX('Liste des ingrédients'!$G$5:$G$98,MATCH($B393,'Liste des ingrédients'!$B$5:$B$98,0)),"?"))</f>
        <v>kg</v>
      </c>
      <c r="G393" s="27" t="n">
        <f aca="false">IF(OR($B393="",$C393=""),0,IFERROR($C393*E393/IF(OR(F393="kg",F393="L"),1000,1),0))</f>
        <v>7.98</v>
      </c>
      <c r="H393" s="25" t="str">
        <f aca="false">IF(AND($A393&lt;&gt;"",$A393='Fiche plat'!$C$3),COUNTIF($A$5:$A393,'Fiche plat'!$C$3),"")</f>
        <v/>
      </c>
      <c r="I393" s="0" t="str">
        <f aca="false">IF($A393="","",IFERROR(INDEX(Plats!$D$5:$D$48,MATCH($A393,Plats!$I$5:$I$48,0)),""))</f>
        <v>Oui</v>
      </c>
    </row>
    <row r="394" customFormat="false" ht="15" hidden="false" customHeight="false" outlineLevel="0" collapsed="false">
      <c r="A394" s="25" t="s">
        <v>176</v>
      </c>
      <c r="B394" s="25" t="s">
        <v>179</v>
      </c>
      <c r="C394" s="34" t="n">
        <v>2000</v>
      </c>
      <c r="D394" s="25" t="str">
        <f aca="false">IF($B394="","",IF(F394="kg","g",IF(F394="L","ml",F394)))</f>
        <v>g</v>
      </c>
      <c r="E394" s="27" t="n">
        <f aca="false">IF($B394="","",IFERROR(INDEX('Liste des ingrédients'!$H$5:$H$98,MATCH($B394,'Liste des ingrédients'!$B$5:$B$98,0)),0))</f>
        <v>4.9</v>
      </c>
      <c r="F394" s="25" t="str">
        <f aca="false">IF($B394="","",IFERROR(INDEX('Liste des ingrédients'!$G$5:$G$98,MATCH($B394,'Liste des ingrédients'!$B$5:$B$98,0)),"?"))</f>
        <v>kg</v>
      </c>
      <c r="G394" s="27" t="n">
        <f aca="false">IF(OR($B394="",$C394=""),0,IFERROR($C394*E394/IF(OR(F394="kg",F394="L"),1000,1),0))</f>
        <v>9.8</v>
      </c>
      <c r="H394" s="25" t="str">
        <f aca="false">IF(AND($A394&lt;&gt;"",$A394='Fiche plat'!$C$3),COUNTIF($A$5:$A394,'Fiche plat'!$C$3),"")</f>
        <v/>
      </c>
      <c r="I394" s="0" t="str">
        <f aca="false">IF($A394="","",IFERROR(INDEX(Plats!$D$5:$D$48,MATCH($A394,Plats!$I$5:$I$48,0)),""))</f>
        <v>Oui</v>
      </c>
    </row>
    <row r="395" customFormat="false" ht="15" hidden="false" customHeight="false" outlineLevel="0" collapsed="false">
      <c r="A395" s="25" t="s">
        <v>176</v>
      </c>
      <c r="B395" s="25" t="s">
        <v>180</v>
      </c>
      <c r="C395" s="34" t="n">
        <v>2000</v>
      </c>
      <c r="D395" s="25" t="str">
        <f aca="false">IF($B395="","",IF(F395="kg","g",IF(F395="L","ml",F395)))</f>
        <v>g</v>
      </c>
      <c r="E395" s="27" t="n">
        <f aca="false">IF($B395="","",IFERROR(INDEX('Liste des ingrédients'!$H$5:$H$98,MATCH($B395,'Liste des ingrédients'!$B$5:$B$98,0)),0))</f>
        <v>7</v>
      </c>
      <c r="F395" s="25" t="str">
        <f aca="false">IF($B395="","",IFERROR(INDEX('Liste des ingrédients'!$G$5:$G$98,MATCH($B395,'Liste des ingrédients'!$B$5:$B$98,0)),"?"))</f>
        <v>kg</v>
      </c>
      <c r="G395" s="27" t="n">
        <f aca="false">IF(OR($B395="",$C395=""),0,IFERROR($C395*E395/IF(OR(F395="kg",F395="L"),1000,1),0))</f>
        <v>14</v>
      </c>
      <c r="H395" s="25" t="str">
        <f aca="false">IF(AND($A395&lt;&gt;"",$A395='Fiche plat'!$C$3),COUNTIF($A$5:$A395,'Fiche plat'!$C$3),"")</f>
        <v/>
      </c>
      <c r="I395" s="0" t="str">
        <f aca="false">IF($A395="","",IFERROR(INDEX(Plats!$D$5:$D$48,MATCH($A395,Plats!$I$5:$I$48,0)),""))</f>
        <v>Oui</v>
      </c>
    </row>
    <row r="396" customFormat="false" ht="15" hidden="false" customHeight="false" outlineLevel="0" collapsed="false">
      <c r="A396" s="25" t="s">
        <v>176</v>
      </c>
      <c r="B396" s="25" t="s">
        <v>181</v>
      </c>
      <c r="C396" s="34" t="n">
        <v>1000</v>
      </c>
      <c r="D396" s="25" t="str">
        <f aca="false">IF($B396="","",IF(F396="kg","g",IF(F396="L","ml",F396)))</f>
        <v>g</v>
      </c>
      <c r="E396" s="27" t="n">
        <f aca="false">IF($B396="","",IFERROR(INDEX('Liste des ingrédients'!$H$5:$H$98,MATCH($B396,'Liste des ingrédients'!$B$5:$B$98,0)),0))</f>
        <v>5.17</v>
      </c>
      <c r="F396" s="25" t="str">
        <f aca="false">IF($B396="","",IFERROR(INDEX('Liste des ingrédients'!$G$5:$G$98,MATCH($B396,'Liste des ingrédients'!$B$5:$B$98,0)),"?"))</f>
        <v>kg</v>
      </c>
      <c r="G396" s="27" t="n">
        <f aca="false">IF(OR($B396="",$C396=""),0,IFERROR($C396*E396/IF(OR(F396="kg",F396="L"),1000,1),0))</f>
        <v>5.17</v>
      </c>
      <c r="H396" s="25" t="str">
        <f aca="false">IF(AND($A396&lt;&gt;"",$A396='Fiche plat'!$C$3),COUNTIF($A$5:$A396,'Fiche plat'!$C$3),"")</f>
        <v/>
      </c>
      <c r="I396" s="0" t="str">
        <f aca="false">IF($A396="","",IFERROR(INDEX(Plats!$D$5:$D$48,MATCH($A396,Plats!$I$5:$I$48,0)),""))</f>
        <v>Oui</v>
      </c>
    </row>
    <row r="397" customFormat="false" ht="15" hidden="false" customHeight="false" outlineLevel="0" collapsed="false">
      <c r="A397" s="36"/>
      <c r="B397" s="22"/>
      <c r="C397" s="35"/>
      <c r="D397" s="22" t="str">
        <f aca="false">IF($B397="","",IF(F397="kg","g",IF(F397="L","ml",F397)))</f>
        <v/>
      </c>
      <c r="E397" s="24" t="str">
        <f aca="false">IF($B397="","",IFERROR(INDEX('Liste des ingrédients'!$H$5:$H$98,MATCH($B397,'Liste des ingrédients'!$B$5:$B$98,0)),0))</f>
        <v/>
      </c>
      <c r="F397" s="22" t="str">
        <f aca="false">IF($B397="","",IFERROR(INDEX('Liste des ingrédients'!$G$5:$G$98,MATCH($B397,'Liste des ingrédients'!$B$5:$B$98,0)),"?"))</f>
        <v/>
      </c>
      <c r="G397" s="24" t="n">
        <f aca="false">IF(OR($B397="",$C397=""),0,IFERROR($C397*E397/IF(OR(F397="kg",F397="L"),1000,1),0))</f>
        <v>0</v>
      </c>
      <c r="H397" s="22" t="str">
        <f aca="false">IF(AND($A397&lt;&gt;"",$A397='Fiche plat'!$C$3),COUNTIF($A$5:$A397,'Fiche plat'!$C$3),"")</f>
        <v/>
      </c>
      <c r="I397" s="0" t="str">
        <f aca="false">IF($A397="","",IFERROR(INDEX(Plats!$D$5:$D$48,MATCH($A397,Plats!$I$5:$I$48,0)),""))</f>
        <v/>
      </c>
    </row>
    <row r="398" customFormat="false" ht="15" hidden="false" customHeight="false" outlineLevel="0" collapsed="false">
      <c r="A398" s="36"/>
      <c r="B398" s="22"/>
      <c r="C398" s="35"/>
      <c r="D398" s="22" t="str">
        <f aca="false">IF($B398="","",IF(F398="kg","g",IF(F398="L","ml",F398)))</f>
        <v/>
      </c>
      <c r="E398" s="24" t="str">
        <f aca="false">IF($B398="","",IFERROR(INDEX('Liste des ingrédients'!$H$5:$H$98,MATCH($B398,'Liste des ingrédients'!$B$5:$B$98,0)),0))</f>
        <v/>
      </c>
      <c r="F398" s="22" t="str">
        <f aca="false">IF($B398="","",IFERROR(INDEX('Liste des ingrédients'!$G$5:$G$98,MATCH($B398,'Liste des ingrédients'!$B$5:$B$98,0)),"?"))</f>
        <v/>
      </c>
      <c r="G398" s="24" t="n">
        <f aca="false">IF(OR($B398="",$C398=""),0,IFERROR($C398*E398/IF(OR(F398="kg",F398="L"),1000,1),0))</f>
        <v>0</v>
      </c>
      <c r="H398" s="22" t="str">
        <f aca="false">IF(AND($A398&lt;&gt;"",$A398='Fiche plat'!$C$3),COUNTIF($A$5:$A398,'Fiche plat'!$C$3),"")</f>
        <v/>
      </c>
      <c r="I398" s="0" t="str">
        <f aca="false">IF($A398="","",IFERROR(INDEX(Plats!$D$5:$D$48,MATCH($A398,Plats!$I$5:$I$48,0)),""))</f>
        <v/>
      </c>
    </row>
    <row r="399" customFormat="false" ht="15" hidden="false" customHeight="false" outlineLevel="0" collapsed="false">
      <c r="A399" s="36"/>
      <c r="B399" s="22"/>
      <c r="C399" s="35"/>
      <c r="D399" s="22" t="str">
        <f aca="false">IF($B399="","",IF(F399="kg","g",IF(F399="L","ml",F399)))</f>
        <v/>
      </c>
      <c r="E399" s="24" t="str">
        <f aca="false">IF($B399="","",IFERROR(INDEX('Liste des ingrédients'!$H$5:$H$98,MATCH($B399,'Liste des ingrédients'!$B$5:$B$98,0)),0))</f>
        <v/>
      </c>
      <c r="F399" s="22" t="str">
        <f aca="false">IF($B399="","",IFERROR(INDEX('Liste des ingrédients'!$G$5:$G$98,MATCH($B399,'Liste des ingrédients'!$B$5:$B$98,0)),"?"))</f>
        <v/>
      </c>
      <c r="G399" s="24" t="n">
        <f aca="false">IF(OR($B399="",$C399=""),0,IFERROR($C399*E399/IF(OR(F399="kg",F399="L"),1000,1),0))</f>
        <v>0</v>
      </c>
      <c r="H399" s="22" t="str">
        <f aca="false">IF(AND($A399&lt;&gt;"",$A399='Fiche plat'!$C$3),COUNTIF($A$5:$A399,'Fiche plat'!$C$3),"")</f>
        <v/>
      </c>
      <c r="I399" s="0" t="str">
        <f aca="false">IF($A399="","",IFERROR(INDEX(Plats!$D$5:$D$48,MATCH($A399,Plats!$I$5:$I$48,0)),""))</f>
        <v/>
      </c>
    </row>
    <row r="400" customFormat="false" ht="15" hidden="false" customHeight="false" outlineLevel="0" collapsed="false">
      <c r="A400" s="36"/>
      <c r="B400" s="22"/>
      <c r="C400" s="35"/>
      <c r="D400" s="22" t="str">
        <f aca="false">IF($B400="","",IF(F400="kg","g",IF(F400="L","ml",F400)))</f>
        <v/>
      </c>
      <c r="E400" s="24" t="str">
        <f aca="false">IF($B400="","",IFERROR(INDEX('Liste des ingrédients'!$H$5:$H$98,MATCH($B400,'Liste des ingrédients'!$B$5:$B$98,0)),0))</f>
        <v/>
      </c>
      <c r="F400" s="22" t="str">
        <f aca="false">IF($B400="","",IFERROR(INDEX('Liste des ingrédients'!$G$5:$G$98,MATCH($B400,'Liste des ingrédients'!$B$5:$B$98,0)),"?"))</f>
        <v/>
      </c>
      <c r="G400" s="24" t="n">
        <f aca="false">IF(OR($B400="",$C400=""),0,IFERROR($C400*E400/IF(OR(F400="kg",F400="L"),1000,1),0))</f>
        <v>0</v>
      </c>
      <c r="H400" s="22" t="str">
        <f aca="false">IF(AND($A400&lt;&gt;"",$A400='Fiche plat'!$C$3),COUNTIF($A$5:$A400,'Fiche plat'!$C$3),"")</f>
        <v/>
      </c>
      <c r="I400" s="0" t="str">
        <f aca="false">IF($A400="","",IFERROR(INDEX(Plats!$D$5:$D$48,MATCH($A400,Plats!$I$5:$I$48,0)),""))</f>
        <v/>
      </c>
    </row>
    <row r="401" customFormat="false" ht="15" hidden="false" customHeight="false" outlineLevel="0" collapsed="false">
      <c r="A401" s="36"/>
      <c r="B401" s="22"/>
      <c r="C401" s="35"/>
      <c r="D401" s="22" t="str">
        <f aca="false">IF($B401="","",IF(F401="kg","g",IF(F401="L","ml",F401)))</f>
        <v/>
      </c>
      <c r="E401" s="24" t="str">
        <f aca="false">IF($B401="","",IFERROR(INDEX('Liste des ingrédients'!$H$5:$H$98,MATCH($B401,'Liste des ingrédients'!$B$5:$B$98,0)),0))</f>
        <v/>
      </c>
      <c r="F401" s="22" t="str">
        <f aca="false">IF($B401="","",IFERROR(INDEX('Liste des ingrédients'!$G$5:$G$98,MATCH($B401,'Liste des ingrédients'!$B$5:$B$98,0)),"?"))</f>
        <v/>
      </c>
      <c r="G401" s="24" t="n">
        <f aca="false">IF(OR($B401="",$C401=""),0,IFERROR($C401*E401/IF(OR(F401="kg",F401="L"),1000,1),0))</f>
        <v>0</v>
      </c>
      <c r="H401" s="22" t="str">
        <f aca="false">IF(AND($A401&lt;&gt;"",$A401='Fiche plat'!$C$3),COUNTIF($A$5:$A401,'Fiche plat'!$C$3),"")</f>
        <v/>
      </c>
      <c r="I401" s="0" t="str">
        <f aca="false">IF($A401="","",IFERROR(INDEX(Plats!$D$5:$D$48,MATCH($A401,Plats!$I$5:$I$48,0)),""))</f>
        <v/>
      </c>
    </row>
    <row r="402" customFormat="false" ht="15" hidden="false" customHeight="false" outlineLevel="0" collapsed="false">
      <c r="A402" s="36"/>
      <c r="B402" s="22"/>
      <c r="C402" s="35"/>
      <c r="D402" s="22" t="str">
        <f aca="false">IF($B402="","",IF(F402="kg","g",IF(F402="L","ml",F402)))</f>
        <v/>
      </c>
      <c r="E402" s="24" t="str">
        <f aca="false">IF($B402="","",IFERROR(INDEX('Liste des ingrédients'!$H$5:$H$98,MATCH($B402,'Liste des ingrédients'!$B$5:$B$98,0)),0))</f>
        <v/>
      </c>
      <c r="F402" s="22" t="str">
        <f aca="false">IF($B402="","",IFERROR(INDEX('Liste des ingrédients'!$G$5:$G$98,MATCH($B402,'Liste des ingrédients'!$B$5:$B$98,0)),"?"))</f>
        <v/>
      </c>
      <c r="G402" s="24" t="n">
        <f aca="false">IF(OR($B402="",$C402=""),0,IFERROR($C402*E402/IF(OR(F402="kg",F402="L"),1000,1),0))</f>
        <v>0</v>
      </c>
      <c r="H402" s="22" t="str">
        <f aca="false">IF(AND($A402&lt;&gt;"",$A402='Fiche plat'!$C$3),COUNTIF($A$5:$A402,'Fiche plat'!$C$3),"")</f>
        <v/>
      </c>
      <c r="I402" s="0" t="str">
        <f aca="false">IF($A402="","",IFERROR(INDEX(Plats!$D$5:$D$48,MATCH($A402,Plats!$I$5:$I$48,0)),""))</f>
        <v/>
      </c>
    </row>
    <row r="403" customFormat="false" ht="15" hidden="false" customHeight="false" outlineLevel="0" collapsed="false">
      <c r="A403" s="36"/>
      <c r="B403" s="22"/>
      <c r="C403" s="35"/>
      <c r="D403" s="22" t="str">
        <f aca="false">IF($B403="","",IF(F403="kg","g",IF(F403="L","ml",F403)))</f>
        <v/>
      </c>
      <c r="E403" s="24" t="str">
        <f aca="false">IF($B403="","",IFERROR(INDEX('Liste des ingrédients'!$H$5:$H$98,MATCH($B403,'Liste des ingrédients'!$B$5:$B$98,0)),0))</f>
        <v/>
      </c>
      <c r="F403" s="22" t="str">
        <f aca="false">IF($B403="","",IFERROR(INDEX('Liste des ingrédients'!$G$5:$G$98,MATCH($B403,'Liste des ingrédients'!$B$5:$B$98,0)),"?"))</f>
        <v/>
      </c>
      <c r="G403" s="24" t="n">
        <f aca="false">IF(OR($B403="",$C403=""),0,IFERROR($C403*E403/IF(OR(F403="kg",F403="L"),1000,1),0))</f>
        <v>0</v>
      </c>
      <c r="H403" s="22" t="str">
        <f aca="false">IF(AND($A403&lt;&gt;"",$A403='Fiche plat'!$C$3),COUNTIF($A$5:$A403,'Fiche plat'!$C$3),"")</f>
        <v/>
      </c>
      <c r="I403" s="0" t="str">
        <f aca="false">IF($A403="","",IFERROR(INDEX(Plats!$D$5:$D$48,MATCH($A403,Plats!$I$5:$I$48,0)),""))</f>
        <v/>
      </c>
    </row>
    <row r="404" customFormat="false" ht="15" hidden="false" customHeight="false" outlineLevel="0" collapsed="false">
      <c r="A404" s="36"/>
      <c r="B404" s="22"/>
      <c r="C404" s="35"/>
      <c r="D404" s="22" t="str">
        <f aca="false">IF($B404="","",IF(F404="kg","g",IF(F404="L","ml",F404)))</f>
        <v/>
      </c>
      <c r="E404" s="24" t="str">
        <f aca="false">IF($B404="","",IFERROR(INDEX('Liste des ingrédients'!$H$5:$H$98,MATCH($B404,'Liste des ingrédients'!$B$5:$B$98,0)),0))</f>
        <v/>
      </c>
      <c r="F404" s="22" t="str">
        <f aca="false">IF($B404="","",IFERROR(INDEX('Liste des ingrédients'!$G$5:$G$98,MATCH($B404,'Liste des ingrédients'!$B$5:$B$98,0)),"?"))</f>
        <v/>
      </c>
      <c r="G404" s="24" t="n">
        <f aca="false">IF(OR($B404="",$C404=""),0,IFERROR($C404*E404/IF(OR(F404="kg",F404="L"),1000,1),0))</f>
        <v>0</v>
      </c>
      <c r="H404" s="22" t="str">
        <f aca="false">IF(AND($A404&lt;&gt;"",$A404='Fiche plat'!$C$3),COUNTIF($A$5:$A404,'Fiche plat'!$C$3),"")</f>
        <v/>
      </c>
      <c r="I404" s="0" t="str">
        <f aca="false">IF($A404="","",IFERROR(INDEX(Plats!$D$5:$D$48,MATCH($A404,Plats!$I$5:$I$48,0)),""))</f>
        <v/>
      </c>
    </row>
    <row r="405" customFormat="false" ht="15" hidden="false" customHeight="false" outlineLevel="0" collapsed="false">
      <c r="A405" s="36"/>
      <c r="B405" s="22"/>
      <c r="C405" s="35"/>
      <c r="D405" s="22" t="str">
        <f aca="false">IF($B405="","",IF(F405="kg","g",IF(F405="L","ml",F405)))</f>
        <v/>
      </c>
      <c r="E405" s="24" t="str">
        <f aca="false">IF($B405="","",IFERROR(INDEX('Liste des ingrédients'!$H$5:$H$98,MATCH($B405,'Liste des ingrédients'!$B$5:$B$98,0)),0))</f>
        <v/>
      </c>
      <c r="F405" s="22" t="str">
        <f aca="false">IF($B405="","",IFERROR(INDEX('Liste des ingrédients'!$G$5:$G$98,MATCH($B405,'Liste des ingrédients'!$B$5:$B$98,0)),"?"))</f>
        <v/>
      </c>
      <c r="G405" s="24" t="n">
        <f aca="false">IF(OR($B405="",$C405=""),0,IFERROR($C405*E405/IF(OR(F405="kg",F405="L"),1000,1),0))</f>
        <v>0</v>
      </c>
      <c r="H405" s="22" t="str">
        <f aca="false">IF(AND($A405&lt;&gt;"",$A405='Fiche plat'!$C$3),COUNTIF($A$5:$A405,'Fiche plat'!$C$3),"")</f>
        <v/>
      </c>
      <c r="I405" s="0" t="str">
        <f aca="false">IF($A405="","",IFERROR(INDEX(Plats!$D$5:$D$48,MATCH($A405,Plats!$I$5:$I$48,0)),""))</f>
        <v/>
      </c>
    </row>
    <row r="406" customFormat="false" ht="15" hidden="false" customHeight="false" outlineLevel="0" collapsed="false">
      <c r="A406" s="36"/>
      <c r="B406" s="22"/>
      <c r="C406" s="35"/>
      <c r="D406" s="22" t="str">
        <f aca="false">IF($B406="","",IF(F406="kg","g",IF(F406="L","ml",F406)))</f>
        <v/>
      </c>
      <c r="E406" s="24" t="str">
        <f aca="false">IF($B406="","",IFERROR(INDEX('Liste des ingrédients'!$H$5:$H$98,MATCH($B406,'Liste des ingrédients'!$B$5:$B$98,0)),0))</f>
        <v/>
      </c>
      <c r="F406" s="22" t="str">
        <f aca="false">IF($B406="","",IFERROR(INDEX('Liste des ingrédients'!$G$5:$G$98,MATCH($B406,'Liste des ingrédients'!$B$5:$B$98,0)),"?"))</f>
        <v/>
      </c>
      <c r="G406" s="24" t="n">
        <f aca="false">IF(OR($B406="",$C406=""),0,IFERROR($C406*E406/IF(OR(F406="kg",F406="L"),1000,1),0))</f>
        <v>0</v>
      </c>
      <c r="H406" s="22" t="str">
        <f aca="false">IF(AND($A406&lt;&gt;"",$A406='Fiche plat'!$C$3),COUNTIF($A$5:$A406,'Fiche plat'!$C$3),"")</f>
        <v/>
      </c>
      <c r="I406" s="0" t="str">
        <f aca="false">IF($A406="","",IFERROR(INDEX(Plats!$D$5:$D$48,MATCH($A406,Plats!$I$5:$I$48,0)),""))</f>
        <v/>
      </c>
    </row>
    <row r="407" customFormat="false" ht="15" hidden="false" customHeight="false" outlineLevel="0" collapsed="false">
      <c r="A407" s="36"/>
      <c r="B407" s="22"/>
      <c r="C407" s="35"/>
      <c r="D407" s="22" t="str">
        <f aca="false">IF($B407="","",IF(F407="kg","g",IF(F407="L","ml",F407)))</f>
        <v/>
      </c>
      <c r="E407" s="24" t="str">
        <f aca="false">IF($B407="","",IFERROR(INDEX('Liste des ingrédients'!$H$5:$H$98,MATCH($B407,'Liste des ingrédients'!$B$5:$B$98,0)),0))</f>
        <v/>
      </c>
      <c r="F407" s="22" t="str">
        <f aca="false">IF($B407="","",IFERROR(INDEX('Liste des ingrédients'!$G$5:$G$98,MATCH($B407,'Liste des ingrédients'!$B$5:$B$98,0)),"?"))</f>
        <v/>
      </c>
      <c r="G407" s="24" t="n">
        <f aca="false">IF(OR($B407="",$C407=""),0,IFERROR($C407*E407/IF(OR(F407="kg",F407="L"),1000,1),0))</f>
        <v>0</v>
      </c>
      <c r="H407" s="22" t="str">
        <f aca="false">IF(AND($A407&lt;&gt;"",$A407='Fiche plat'!$C$3),COUNTIF($A$5:$A407,'Fiche plat'!$C$3),"")</f>
        <v/>
      </c>
      <c r="I407" s="0" t="str">
        <f aca="false">IF($A407="","",IFERROR(INDEX(Plats!$D$5:$D$48,MATCH($A407,Plats!$I$5:$I$48,0)),""))</f>
        <v/>
      </c>
    </row>
    <row r="408" customFormat="false" ht="15" hidden="false" customHeight="false" outlineLevel="0" collapsed="false">
      <c r="A408" s="36"/>
      <c r="B408" s="22"/>
      <c r="C408" s="35"/>
      <c r="D408" s="22" t="str">
        <f aca="false">IF($B408="","",IF(F408="kg","g",IF(F408="L","ml",F408)))</f>
        <v/>
      </c>
      <c r="E408" s="24" t="str">
        <f aca="false">IF($B408="","",IFERROR(INDEX('Liste des ingrédients'!$H$5:$H$98,MATCH($B408,'Liste des ingrédients'!$B$5:$B$98,0)),0))</f>
        <v/>
      </c>
      <c r="F408" s="22" t="str">
        <f aca="false">IF($B408="","",IFERROR(INDEX('Liste des ingrédients'!$G$5:$G$98,MATCH($B408,'Liste des ingrédients'!$B$5:$B$98,0)),"?"))</f>
        <v/>
      </c>
      <c r="G408" s="24" t="n">
        <f aca="false">IF(OR($B408="",$C408=""),0,IFERROR($C408*E408/IF(OR(F408="kg",F408="L"),1000,1),0))</f>
        <v>0</v>
      </c>
      <c r="H408" s="22" t="str">
        <f aca="false">IF(AND($A408&lt;&gt;"",$A408='Fiche plat'!$C$3),COUNTIF($A$5:$A408,'Fiche plat'!$C$3),"")</f>
        <v/>
      </c>
      <c r="I408" s="0" t="str">
        <f aca="false">IF($A408="","",IFERROR(INDEX(Plats!$D$5:$D$48,MATCH($A408,Plats!$I$5:$I$48,0)),""))</f>
        <v/>
      </c>
    </row>
    <row r="409" customFormat="false" ht="15" hidden="false" customHeight="false" outlineLevel="0" collapsed="false">
      <c r="A409" s="36"/>
      <c r="B409" s="22"/>
      <c r="C409" s="35"/>
      <c r="D409" s="22" t="str">
        <f aca="false">IF($B409="","",IF(F409="kg","g",IF(F409="L","ml",F409)))</f>
        <v/>
      </c>
      <c r="E409" s="24" t="str">
        <f aca="false">IF($B409="","",IFERROR(INDEX('Liste des ingrédients'!$H$5:$H$98,MATCH($B409,'Liste des ingrédients'!$B$5:$B$98,0)),0))</f>
        <v/>
      </c>
      <c r="F409" s="22" t="str">
        <f aca="false">IF($B409="","",IFERROR(INDEX('Liste des ingrédients'!$G$5:$G$98,MATCH($B409,'Liste des ingrédients'!$B$5:$B$98,0)),"?"))</f>
        <v/>
      </c>
      <c r="G409" s="24" t="n">
        <f aca="false">IF(OR($B409="",$C409=""),0,IFERROR($C409*E409/IF(OR(F409="kg",F409="L"),1000,1),0))</f>
        <v>0</v>
      </c>
      <c r="H409" s="22" t="str">
        <f aca="false">IF(AND($A409&lt;&gt;"",$A409='Fiche plat'!$C$3),COUNTIF($A$5:$A409,'Fiche plat'!$C$3),"")</f>
        <v/>
      </c>
      <c r="I409" s="0" t="str">
        <f aca="false">IF($A409="","",IFERROR(INDEX(Plats!$D$5:$D$48,MATCH($A409,Plats!$I$5:$I$48,0)),""))</f>
        <v/>
      </c>
    </row>
    <row r="410" customFormat="false" ht="15" hidden="false" customHeight="false" outlineLevel="0" collapsed="false">
      <c r="A410" s="36"/>
      <c r="B410" s="22"/>
      <c r="C410" s="35"/>
      <c r="D410" s="22" t="str">
        <f aca="false">IF($B410="","",IF(F410="kg","g",IF(F410="L","ml",F410)))</f>
        <v/>
      </c>
      <c r="E410" s="24" t="str">
        <f aca="false">IF($B410="","",IFERROR(INDEX('Liste des ingrédients'!$H$5:$H$98,MATCH($B410,'Liste des ingrédients'!$B$5:$B$98,0)),0))</f>
        <v/>
      </c>
      <c r="F410" s="22" t="str">
        <f aca="false">IF($B410="","",IFERROR(INDEX('Liste des ingrédients'!$G$5:$G$98,MATCH($B410,'Liste des ingrédients'!$B$5:$B$98,0)),"?"))</f>
        <v/>
      </c>
      <c r="G410" s="24" t="n">
        <f aca="false">IF(OR($B410="",$C410=""),0,IFERROR($C410*E410/IF(OR(F410="kg",F410="L"),1000,1),0))</f>
        <v>0</v>
      </c>
      <c r="H410" s="22" t="str">
        <f aca="false">IF(AND($A410&lt;&gt;"",$A410='Fiche plat'!$C$3),COUNTIF($A$5:$A410,'Fiche plat'!$C$3),"")</f>
        <v/>
      </c>
      <c r="I410" s="0" t="str">
        <f aca="false">IF($A410="","",IFERROR(INDEX(Plats!$D$5:$D$48,MATCH($A410,Plats!$I$5:$I$48,0)),""))</f>
        <v/>
      </c>
    </row>
    <row r="411" customFormat="false" ht="15" hidden="false" customHeight="false" outlineLevel="0" collapsed="false">
      <c r="A411" s="36"/>
      <c r="B411" s="22"/>
      <c r="C411" s="35"/>
      <c r="D411" s="22" t="str">
        <f aca="false">IF($B411="","",IF(F411="kg","g",IF(F411="L","ml",F411)))</f>
        <v/>
      </c>
      <c r="E411" s="24" t="str">
        <f aca="false">IF($B411="","",IFERROR(INDEX('Liste des ingrédients'!$H$5:$H$98,MATCH($B411,'Liste des ingrédients'!$B$5:$B$98,0)),0))</f>
        <v/>
      </c>
      <c r="F411" s="22" t="str">
        <f aca="false">IF($B411="","",IFERROR(INDEX('Liste des ingrédients'!$G$5:$G$98,MATCH($B411,'Liste des ingrédients'!$B$5:$B$98,0)),"?"))</f>
        <v/>
      </c>
      <c r="G411" s="24" t="n">
        <f aca="false">IF(OR($B411="",$C411=""),0,IFERROR($C411*E411/IF(OR(F411="kg",F411="L"),1000,1),0))</f>
        <v>0</v>
      </c>
      <c r="H411" s="22" t="str">
        <f aca="false">IF(AND($A411&lt;&gt;"",$A411='Fiche plat'!$C$3),COUNTIF($A$5:$A411,'Fiche plat'!$C$3),"")</f>
        <v/>
      </c>
      <c r="I411" s="0" t="str">
        <f aca="false">IF($A411="","",IFERROR(INDEX(Plats!$D$5:$D$48,MATCH($A411,Plats!$I$5:$I$48,0)),""))</f>
        <v/>
      </c>
    </row>
    <row r="412" customFormat="false" ht="15" hidden="false" customHeight="false" outlineLevel="0" collapsed="false">
      <c r="A412" s="36"/>
      <c r="B412" s="22"/>
      <c r="C412" s="35"/>
      <c r="D412" s="22" t="str">
        <f aca="false">IF($B412="","",IF(F412="kg","g",IF(F412="L","ml",F412)))</f>
        <v/>
      </c>
      <c r="E412" s="24" t="str">
        <f aca="false">IF($B412="","",IFERROR(INDEX('Liste des ingrédients'!$H$5:$H$98,MATCH($B412,'Liste des ingrédients'!$B$5:$B$98,0)),0))</f>
        <v/>
      </c>
      <c r="F412" s="22" t="str">
        <f aca="false">IF($B412="","",IFERROR(INDEX('Liste des ingrédients'!$G$5:$G$98,MATCH($B412,'Liste des ingrédients'!$B$5:$B$98,0)),"?"))</f>
        <v/>
      </c>
      <c r="G412" s="24" t="n">
        <f aca="false">IF(OR($B412="",$C412=""),0,IFERROR($C412*E412/IF(OR(F412="kg",F412="L"),1000,1),0))</f>
        <v>0</v>
      </c>
      <c r="H412" s="22" t="str">
        <f aca="false">IF(AND($A412&lt;&gt;"",$A412='Fiche plat'!$C$3),COUNTIF($A$5:$A412,'Fiche plat'!$C$3),"")</f>
        <v/>
      </c>
      <c r="I412" s="0" t="str">
        <f aca="false">IF($A412="","",IFERROR(INDEX(Plats!$D$5:$D$48,MATCH($A412,Plats!$I$5:$I$48,0)),""))</f>
        <v/>
      </c>
    </row>
    <row r="413" customFormat="false" ht="15" hidden="false" customHeight="false" outlineLevel="0" collapsed="false">
      <c r="A413" s="36"/>
      <c r="B413" s="22"/>
      <c r="C413" s="35"/>
      <c r="D413" s="22" t="str">
        <f aca="false">IF($B413="","",IF(F413="kg","g",IF(F413="L","ml",F413)))</f>
        <v/>
      </c>
      <c r="E413" s="24" t="str">
        <f aca="false">IF($B413="","",IFERROR(INDEX('Liste des ingrédients'!$H$5:$H$98,MATCH($B413,'Liste des ingrédients'!$B$5:$B$98,0)),0))</f>
        <v/>
      </c>
      <c r="F413" s="22" t="str">
        <f aca="false">IF($B413="","",IFERROR(INDEX('Liste des ingrédients'!$G$5:$G$98,MATCH($B413,'Liste des ingrédients'!$B$5:$B$98,0)),"?"))</f>
        <v/>
      </c>
      <c r="G413" s="24" t="n">
        <f aca="false">IF(OR($B413="",$C413=""),0,IFERROR($C413*E413/IF(OR(F413="kg",F413="L"),1000,1),0))</f>
        <v>0</v>
      </c>
      <c r="H413" s="22" t="str">
        <f aca="false">IF(AND($A413&lt;&gt;"",$A413='Fiche plat'!$C$3),COUNTIF($A$5:$A413,'Fiche plat'!$C$3),"")</f>
        <v/>
      </c>
      <c r="I413" s="0" t="str">
        <f aca="false">IF($A413="","",IFERROR(INDEX(Plats!$D$5:$D$48,MATCH($A413,Plats!$I$5:$I$48,0)),""))</f>
        <v/>
      </c>
    </row>
    <row r="414" customFormat="false" ht="15" hidden="false" customHeight="false" outlineLevel="0" collapsed="false">
      <c r="A414" s="36"/>
      <c r="B414" s="22"/>
      <c r="C414" s="35"/>
      <c r="D414" s="22" t="str">
        <f aca="false">IF($B414="","",IF(F414="kg","g",IF(F414="L","ml",F414)))</f>
        <v/>
      </c>
      <c r="E414" s="24" t="str">
        <f aca="false">IF($B414="","",IFERROR(INDEX('Liste des ingrédients'!$H$5:$H$98,MATCH($B414,'Liste des ingrédients'!$B$5:$B$98,0)),0))</f>
        <v/>
      </c>
      <c r="F414" s="22" t="str">
        <f aca="false">IF($B414="","",IFERROR(INDEX('Liste des ingrédients'!$G$5:$G$98,MATCH($B414,'Liste des ingrédients'!$B$5:$B$98,0)),"?"))</f>
        <v/>
      </c>
      <c r="G414" s="24" t="n">
        <f aca="false">IF(OR($B414="",$C414=""),0,IFERROR($C414*E414/IF(OR(F414="kg",F414="L"),1000,1),0))</f>
        <v>0</v>
      </c>
      <c r="H414" s="22" t="str">
        <f aca="false">IF(AND($A414&lt;&gt;"",$A414='Fiche plat'!$C$3),COUNTIF($A$5:$A414,'Fiche plat'!$C$3),"")</f>
        <v/>
      </c>
      <c r="I414" s="0" t="str">
        <f aca="false">IF($A414="","",IFERROR(INDEX(Plats!$D$5:$D$48,MATCH($A414,Plats!$I$5:$I$48,0)),""))</f>
        <v/>
      </c>
    </row>
    <row r="415" customFormat="false" ht="15" hidden="false" customHeight="false" outlineLevel="0" collapsed="false">
      <c r="A415" s="36"/>
      <c r="B415" s="22"/>
      <c r="C415" s="35"/>
      <c r="D415" s="22" t="str">
        <f aca="false">IF($B415="","",IF(F415="kg","g",IF(F415="L","ml",F415)))</f>
        <v/>
      </c>
      <c r="E415" s="24" t="str">
        <f aca="false">IF($B415="","",IFERROR(INDEX('Liste des ingrédients'!$H$5:$H$98,MATCH($B415,'Liste des ingrédients'!$B$5:$B$98,0)),0))</f>
        <v/>
      </c>
      <c r="F415" s="22" t="str">
        <f aca="false">IF($B415="","",IFERROR(INDEX('Liste des ingrédients'!$G$5:$G$98,MATCH($B415,'Liste des ingrédients'!$B$5:$B$98,0)),"?"))</f>
        <v/>
      </c>
      <c r="G415" s="24" t="n">
        <f aca="false">IF(OR($B415="",$C415=""),0,IFERROR($C415*E415/IF(OR(F415="kg",F415="L"),1000,1),0))</f>
        <v>0</v>
      </c>
      <c r="H415" s="22" t="str">
        <f aca="false">IF(AND($A415&lt;&gt;"",$A415='Fiche plat'!$C$3),COUNTIF($A$5:$A415,'Fiche plat'!$C$3),"")</f>
        <v/>
      </c>
      <c r="I415" s="0" t="str">
        <f aca="false">IF($A415="","",IFERROR(INDEX(Plats!$D$5:$D$48,MATCH($A415,Plats!$I$5:$I$48,0)),""))</f>
        <v/>
      </c>
    </row>
    <row r="416" customFormat="false" ht="15" hidden="false" customHeight="false" outlineLevel="0" collapsed="false">
      <c r="A416" s="36"/>
      <c r="B416" s="22"/>
      <c r="C416" s="35"/>
      <c r="D416" s="22" t="str">
        <f aca="false">IF($B416="","",IF(F416="kg","g",IF(F416="L","ml",F416)))</f>
        <v/>
      </c>
      <c r="E416" s="24" t="str">
        <f aca="false">IF($B416="","",IFERROR(INDEX('Liste des ingrédients'!$H$5:$H$98,MATCH($B416,'Liste des ingrédients'!$B$5:$B$98,0)),0))</f>
        <v/>
      </c>
      <c r="F416" s="22" t="str">
        <f aca="false">IF($B416="","",IFERROR(INDEX('Liste des ingrédients'!$G$5:$G$98,MATCH($B416,'Liste des ingrédients'!$B$5:$B$98,0)),"?"))</f>
        <v/>
      </c>
      <c r="G416" s="24" t="n">
        <f aca="false">IF(OR($B416="",$C416=""),0,IFERROR($C416*E416/IF(OR(F416="kg",F416="L"),1000,1),0))</f>
        <v>0</v>
      </c>
      <c r="H416" s="22" t="str">
        <f aca="false">IF(AND($A416&lt;&gt;"",$A416='Fiche plat'!$C$3),COUNTIF($A$5:$A416,'Fiche plat'!$C$3),"")</f>
        <v/>
      </c>
      <c r="I416" s="0" t="str">
        <f aca="false">IF($A416="","",IFERROR(INDEX(Plats!$D$5:$D$48,MATCH($A416,Plats!$I$5:$I$48,0)),""))</f>
        <v/>
      </c>
    </row>
    <row r="417" customFormat="false" ht="15" hidden="false" customHeight="false" outlineLevel="0" collapsed="false">
      <c r="A417" s="36"/>
      <c r="B417" s="22"/>
      <c r="C417" s="35"/>
      <c r="D417" s="22" t="str">
        <f aca="false">IF($B417="","",IF(F417="kg","g",IF(F417="L","ml",F417)))</f>
        <v/>
      </c>
      <c r="E417" s="24" t="str">
        <f aca="false">IF($B417="","",IFERROR(INDEX('Liste des ingrédients'!$H$5:$H$98,MATCH($B417,'Liste des ingrédients'!$B$5:$B$98,0)),0))</f>
        <v/>
      </c>
      <c r="F417" s="22" t="str">
        <f aca="false">IF($B417="","",IFERROR(INDEX('Liste des ingrédients'!$G$5:$G$98,MATCH($B417,'Liste des ingrédients'!$B$5:$B$98,0)),"?"))</f>
        <v/>
      </c>
      <c r="G417" s="24" t="n">
        <f aca="false">IF(OR($B417="",$C417=""),0,IFERROR($C417*E417/IF(OR(F417="kg",F417="L"),1000,1),0))</f>
        <v>0</v>
      </c>
      <c r="H417" s="22" t="str">
        <f aca="false">IF(AND($A417&lt;&gt;"",$A417='Fiche plat'!$C$3),COUNTIF($A$5:$A417,'Fiche plat'!$C$3),"")</f>
        <v/>
      </c>
      <c r="I417" s="0" t="str">
        <f aca="false">IF($A417="","",IFERROR(INDEX(Plats!$D$5:$D$48,MATCH($A417,Plats!$I$5:$I$48,0)),""))</f>
        <v/>
      </c>
    </row>
    <row r="418" customFormat="false" ht="15" hidden="false" customHeight="false" outlineLevel="0" collapsed="false">
      <c r="A418" s="36"/>
      <c r="B418" s="22"/>
      <c r="C418" s="35"/>
      <c r="D418" s="22" t="str">
        <f aca="false">IF($B418="","",IF(F418="kg","g",IF(F418="L","ml",F418)))</f>
        <v/>
      </c>
      <c r="E418" s="24" t="str">
        <f aca="false">IF($B418="","",IFERROR(INDEX('Liste des ingrédients'!$H$5:$H$98,MATCH($B418,'Liste des ingrédients'!$B$5:$B$98,0)),0))</f>
        <v/>
      </c>
      <c r="F418" s="22" t="str">
        <f aca="false">IF($B418="","",IFERROR(INDEX('Liste des ingrédients'!$G$5:$G$98,MATCH($B418,'Liste des ingrédients'!$B$5:$B$98,0)),"?"))</f>
        <v/>
      </c>
      <c r="G418" s="24" t="n">
        <f aca="false">IF(OR($B418="",$C418=""),0,IFERROR($C418*E418/IF(OR(F418="kg",F418="L"),1000,1),0))</f>
        <v>0</v>
      </c>
      <c r="H418" s="22" t="str">
        <f aca="false">IF(AND($A418&lt;&gt;"",$A418='Fiche plat'!$C$3),COUNTIF($A$5:$A418,'Fiche plat'!$C$3),"")</f>
        <v/>
      </c>
      <c r="I418" s="0" t="str">
        <f aca="false">IF($A418="","",IFERROR(INDEX(Plats!$D$5:$D$48,MATCH($A418,Plats!$I$5:$I$48,0)),""))</f>
        <v/>
      </c>
    </row>
    <row r="419" customFormat="false" ht="15" hidden="false" customHeight="false" outlineLevel="0" collapsed="false">
      <c r="A419" s="36"/>
      <c r="B419" s="22"/>
      <c r="C419" s="35"/>
      <c r="D419" s="22" t="str">
        <f aca="false">IF($B419="","",IF(F419="kg","g",IF(F419="L","ml",F419)))</f>
        <v/>
      </c>
      <c r="E419" s="24" t="str">
        <f aca="false">IF($B419="","",IFERROR(INDEX('Liste des ingrédients'!$H$5:$H$98,MATCH($B419,'Liste des ingrédients'!$B$5:$B$98,0)),0))</f>
        <v/>
      </c>
      <c r="F419" s="22" t="str">
        <f aca="false">IF($B419="","",IFERROR(INDEX('Liste des ingrédients'!$G$5:$G$98,MATCH($B419,'Liste des ingrédients'!$B$5:$B$98,0)),"?"))</f>
        <v/>
      </c>
      <c r="G419" s="24" t="n">
        <f aca="false">IF(OR($B419="",$C419=""),0,IFERROR($C419*E419/IF(OR(F419="kg",F419="L"),1000,1),0))</f>
        <v>0</v>
      </c>
      <c r="H419" s="22" t="str">
        <f aca="false">IF(AND($A419&lt;&gt;"",$A419='Fiche plat'!$C$3),COUNTIF($A$5:$A419,'Fiche plat'!$C$3),"")</f>
        <v/>
      </c>
      <c r="I419" s="0" t="str">
        <f aca="false">IF($A419="","",IFERROR(INDEX(Plats!$D$5:$D$48,MATCH($A419,Plats!$I$5:$I$48,0)),""))</f>
        <v/>
      </c>
    </row>
    <row r="420" customFormat="false" ht="15" hidden="false" customHeight="false" outlineLevel="0" collapsed="false">
      <c r="A420" s="36"/>
      <c r="B420" s="22"/>
      <c r="C420" s="35"/>
      <c r="D420" s="22" t="str">
        <f aca="false">IF($B420="","",IF(F420="kg","g",IF(F420="L","ml",F420)))</f>
        <v/>
      </c>
      <c r="E420" s="24" t="str">
        <f aca="false">IF($B420="","",IFERROR(INDEX('Liste des ingrédients'!$H$5:$H$98,MATCH($B420,'Liste des ingrédients'!$B$5:$B$98,0)),0))</f>
        <v/>
      </c>
      <c r="F420" s="22" t="str">
        <f aca="false">IF($B420="","",IFERROR(INDEX('Liste des ingrédients'!$G$5:$G$98,MATCH($B420,'Liste des ingrédients'!$B$5:$B$98,0)),"?"))</f>
        <v/>
      </c>
      <c r="G420" s="24" t="n">
        <f aca="false">IF(OR($B420="",$C420=""),0,IFERROR($C420*E420/IF(OR(F420="kg",F420="L"),1000,1),0))</f>
        <v>0</v>
      </c>
      <c r="H420" s="22" t="str">
        <f aca="false">IF(AND($A420&lt;&gt;"",$A420='Fiche plat'!$C$3),COUNTIF($A$5:$A420,'Fiche plat'!$C$3),"")</f>
        <v/>
      </c>
      <c r="I420" s="0" t="str">
        <f aca="false">IF($A420="","",IFERROR(INDEX(Plats!$D$5:$D$48,MATCH($A420,Plats!$I$5:$I$48,0)),""))</f>
        <v/>
      </c>
    </row>
    <row r="421" customFormat="false" ht="15" hidden="false" customHeight="false" outlineLevel="0" collapsed="false">
      <c r="A421" s="36"/>
      <c r="B421" s="22"/>
      <c r="C421" s="35"/>
      <c r="D421" s="22" t="str">
        <f aca="false">IF($B421="","",IF(F421="kg","g",IF(F421="L","ml",F421)))</f>
        <v/>
      </c>
      <c r="E421" s="24" t="str">
        <f aca="false">IF($B421="","",IFERROR(INDEX('Liste des ingrédients'!$H$5:$H$98,MATCH($B421,'Liste des ingrédients'!$B$5:$B$98,0)),0))</f>
        <v/>
      </c>
      <c r="F421" s="22" t="str">
        <f aca="false">IF($B421="","",IFERROR(INDEX('Liste des ingrédients'!$G$5:$G$98,MATCH($B421,'Liste des ingrédients'!$B$5:$B$98,0)),"?"))</f>
        <v/>
      </c>
      <c r="G421" s="24" t="n">
        <f aca="false">IF(OR($B421="",$C421=""),0,IFERROR($C421*E421/IF(OR(F421="kg",F421="L"),1000,1),0))</f>
        <v>0</v>
      </c>
      <c r="H421" s="22" t="str">
        <f aca="false">IF(AND($A421&lt;&gt;"",$A421='Fiche plat'!$C$3),COUNTIF($A$5:$A421,'Fiche plat'!$C$3),"")</f>
        <v/>
      </c>
      <c r="I421" s="0" t="str">
        <f aca="false">IF($A421="","",IFERROR(INDEX(Plats!$D$5:$D$48,MATCH($A421,Plats!$I$5:$I$48,0)),""))</f>
        <v/>
      </c>
    </row>
    <row r="422" customFormat="false" ht="15" hidden="false" customHeight="false" outlineLevel="0" collapsed="false">
      <c r="A422" s="36"/>
      <c r="B422" s="22"/>
      <c r="C422" s="35"/>
      <c r="D422" s="22" t="str">
        <f aca="false">IF($B422="","",IF(F422="kg","g",IF(F422="L","ml",F422)))</f>
        <v/>
      </c>
      <c r="E422" s="24" t="str">
        <f aca="false">IF($B422="","",IFERROR(INDEX('Liste des ingrédients'!$H$5:$H$98,MATCH($B422,'Liste des ingrédients'!$B$5:$B$98,0)),0))</f>
        <v/>
      </c>
      <c r="F422" s="22" t="str">
        <f aca="false">IF($B422="","",IFERROR(INDEX('Liste des ingrédients'!$G$5:$G$98,MATCH($B422,'Liste des ingrédients'!$B$5:$B$98,0)),"?"))</f>
        <v/>
      </c>
      <c r="G422" s="24" t="n">
        <f aca="false">IF(OR($B422="",$C422=""),0,IFERROR($C422*E422/IF(OR(F422="kg",F422="L"),1000,1),0))</f>
        <v>0</v>
      </c>
      <c r="H422" s="22" t="str">
        <f aca="false">IF(AND($A422&lt;&gt;"",$A422='Fiche plat'!$C$3),COUNTIF($A$5:$A422,'Fiche plat'!$C$3),"")</f>
        <v/>
      </c>
      <c r="I422" s="0" t="str">
        <f aca="false">IF($A422="","",IFERROR(INDEX(Plats!$D$5:$D$48,MATCH($A422,Plats!$I$5:$I$48,0)),""))</f>
        <v/>
      </c>
    </row>
    <row r="423" customFormat="false" ht="15" hidden="false" customHeight="false" outlineLevel="0" collapsed="false">
      <c r="A423" s="36"/>
      <c r="B423" s="22"/>
      <c r="C423" s="35"/>
      <c r="D423" s="22" t="str">
        <f aca="false">IF($B423="","",IF(F423="kg","g",IF(F423="L","ml",F423)))</f>
        <v/>
      </c>
      <c r="E423" s="24" t="str">
        <f aca="false">IF($B423="","",IFERROR(INDEX('Liste des ingrédients'!$H$5:$H$98,MATCH($B423,'Liste des ingrédients'!$B$5:$B$98,0)),0))</f>
        <v/>
      </c>
      <c r="F423" s="22" t="str">
        <f aca="false">IF($B423="","",IFERROR(INDEX('Liste des ingrédients'!$G$5:$G$98,MATCH($B423,'Liste des ingrédients'!$B$5:$B$98,0)),"?"))</f>
        <v/>
      </c>
      <c r="G423" s="24" t="n">
        <f aca="false">IF(OR($B423="",$C423=""),0,IFERROR($C423*E423/IF(OR(F423="kg",F423="L"),1000,1),0))</f>
        <v>0</v>
      </c>
      <c r="H423" s="22" t="str">
        <f aca="false">IF(AND($A423&lt;&gt;"",$A423='Fiche plat'!$C$3),COUNTIF($A$5:$A423,'Fiche plat'!$C$3),"")</f>
        <v/>
      </c>
      <c r="I423" s="0" t="str">
        <f aca="false">IF($A423="","",IFERROR(INDEX(Plats!$D$5:$D$48,MATCH($A423,Plats!$I$5:$I$48,0)),""))</f>
        <v/>
      </c>
    </row>
    <row r="424" customFormat="false" ht="15" hidden="false" customHeight="false" outlineLevel="0" collapsed="false">
      <c r="A424" s="36"/>
      <c r="B424" s="22"/>
      <c r="C424" s="35"/>
      <c r="D424" s="22" t="str">
        <f aca="false">IF($B424="","",IF(F424="kg","g",IF(F424="L","ml",F424)))</f>
        <v/>
      </c>
      <c r="E424" s="24" t="str">
        <f aca="false">IF($B424="","",IFERROR(INDEX('Liste des ingrédients'!$H$5:$H$98,MATCH($B424,'Liste des ingrédients'!$B$5:$B$98,0)),0))</f>
        <v/>
      </c>
      <c r="F424" s="22" t="str">
        <f aca="false">IF($B424="","",IFERROR(INDEX('Liste des ingrédients'!$G$5:$G$98,MATCH($B424,'Liste des ingrédients'!$B$5:$B$98,0)),"?"))</f>
        <v/>
      </c>
      <c r="G424" s="24" t="n">
        <f aca="false">IF(OR($B424="",$C424=""),0,IFERROR($C424*E424/IF(OR(F424="kg",F424="L"),1000,1),0))</f>
        <v>0</v>
      </c>
      <c r="H424" s="22" t="str">
        <f aca="false">IF(AND($A424&lt;&gt;"",$A424='Fiche plat'!$C$3),COUNTIF($A$5:$A424,'Fiche plat'!$C$3),"")</f>
        <v/>
      </c>
      <c r="I424" s="0" t="str">
        <f aca="false">IF($A424="","",IFERROR(INDEX(Plats!$D$5:$D$48,MATCH($A424,Plats!$I$5:$I$48,0)),""))</f>
        <v/>
      </c>
    </row>
    <row r="425" customFormat="false" ht="15" hidden="false" customHeight="false" outlineLevel="0" collapsed="false">
      <c r="A425" s="36"/>
      <c r="B425" s="22"/>
      <c r="C425" s="35"/>
      <c r="D425" s="22" t="str">
        <f aca="false">IF($B425="","",IF(F425="kg","g",IF(F425="L","ml",F425)))</f>
        <v/>
      </c>
      <c r="E425" s="24" t="str">
        <f aca="false">IF($B425="","",IFERROR(INDEX('Liste des ingrédients'!$H$5:$H$98,MATCH($B425,'Liste des ingrédients'!$B$5:$B$98,0)),0))</f>
        <v/>
      </c>
      <c r="F425" s="22" t="str">
        <f aca="false">IF($B425="","",IFERROR(INDEX('Liste des ingrédients'!$G$5:$G$98,MATCH($B425,'Liste des ingrédients'!$B$5:$B$98,0)),"?"))</f>
        <v/>
      </c>
      <c r="G425" s="24" t="n">
        <f aca="false">IF(OR($B425="",$C425=""),0,IFERROR($C425*E425/IF(OR(F425="kg",F425="L"),1000,1),0))</f>
        <v>0</v>
      </c>
      <c r="H425" s="22" t="str">
        <f aca="false">IF(AND($A425&lt;&gt;"",$A425='Fiche plat'!$C$3),COUNTIF($A$5:$A425,'Fiche plat'!$C$3),"")</f>
        <v/>
      </c>
      <c r="I425" s="0" t="str">
        <f aca="false">IF($A425="","",IFERROR(INDEX(Plats!$D$5:$D$48,MATCH($A425,Plats!$I$5:$I$48,0)),""))</f>
        <v/>
      </c>
    </row>
    <row r="426" customFormat="false" ht="15" hidden="false" customHeight="false" outlineLevel="0" collapsed="false">
      <c r="A426" s="36"/>
      <c r="B426" s="22"/>
      <c r="C426" s="35"/>
      <c r="D426" s="22" t="str">
        <f aca="false">IF($B426="","",IF(F426="kg","g",IF(F426="L","ml",F426)))</f>
        <v/>
      </c>
      <c r="E426" s="24" t="str">
        <f aca="false">IF($B426="","",IFERROR(INDEX('Liste des ingrédients'!$H$5:$H$98,MATCH($B426,'Liste des ingrédients'!$B$5:$B$98,0)),0))</f>
        <v/>
      </c>
      <c r="F426" s="22" t="str">
        <f aca="false">IF($B426="","",IFERROR(INDEX('Liste des ingrédients'!$G$5:$G$98,MATCH($B426,'Liste des ingrédients'!$B$5:$B$98,0)),"?"))</f>
        <v/>
      </c>
      <c r="G426" s="24" t="n">
        <f aca="false">IF(OR($B426="",$C426=""),0,IFERROR($C426*E426/IF(OR(F426="kg",F426="L"),1000,1),0))</f>
        <v>0</v>
      </c>
      <c r="H426" s="22" t="str">
        <f aca="false">IF(AND($A426&lt;&gt;"",$A426='Fiche plat'!$C$3),COUNTIF($A$5:$A426,'Fiche plat'!$C$3),"")</f>
        <v/>
      </c>
      <c r="I426" s="0" t="str">
        <f aca="false">IF($A426="","",IFERROR(INDEX(Plats!$D$5:$D$48,MATCH($A426,Plats!$I$5:$I$48,0)),""))</f>
        <v/>
      </c>
    </row>
    <row r="427" customFormat="false" ht="15" hidden="false" customHeight="false" outlineLevel="0" collapsed="false">
      <c r="A427" s="36"/>
      <c r="B427" s="22"/>
      <c r="C427" s="35"/>
      <c r="D427" s="22" t="str">
        <f aca="false">IF($B427="","",IF(F427="kg","g",IF(F427="L","ml",F427)))</f>
        <v/>
      </c>
      <c r="E427" s="24" t="str">
        <f aca="false">IF($B427="","",IFERROR(INDEX('Liste des ingrédients'!$H$5:$H$98,MATCH($B427,'Liste des ingrédients'!$B$5:$B$98,0)),0))</f>
        <v/>
      </c>
      <c r="F427" s="22" t="str">
        <f aca="false">IF($B427="","",IFERROR(INDEX('Liste des ingrédients'!$G$5:$G$98,MATCH($B427,'Liste des ingrédients'!$B$5:$B$98,0)),"?"))</f>
        <v/>
      </c>
      <c r="G427" s="24" t="n">
        <f aca="false">IF(OR($B427="",$C427=""),0,IFERROR($C427*E427/IF(OR(F427="kg",F427="L"),1000,1),0))</f>
        <v>0</v>
      </c>
      <c r="H427" s="22" t="str">
        <f aca="false">IF(AND($A427&lt;&gt;"",$A427='Fiche plat'!$C$3),COUNTIF($A$5:$A427,'Fiche plat'!$C$3),"")</f>
        <v/>
      </c>
      <c r="I427" s="0" t="str">
        <f aca="false">IF($A427="","",IFERROR(INDEX(Plats!$D$5:$D$48,MATCH($A427,Plats!$I$5:$I$48,0)),""))</f>
        <v/>
      </c>
    </row>
    <row r="428" customFormat="false" ht="15" hidden="false" customHeight="false" outlineLevel="0" collapsed="false">
      <c r="A428" s="36"/>
      <c r="B428" s="22"/>
      <c r="C428" s="35"/>
      <c r="D428" s="22" t="str">
        <f aca="false">IF($B428="","",IF(F428="kg","g",IF(F428="L","ml",F428)))</f>
        <v/>
      </c>
      <c r="E428" s="24" t="str">
        <f aca="false">IF($B428="","",IFERROR(INDEX('Liste des ingrédients'!$H$5:$H$98,MATCH($B428,'Liste des ingrédients'!$B$5:$B$98,0)),0))</f>
        <v/>
      </c>
      <c r="F428" s="22" t="str">
        <f aca="false">IF($B428="","",IFERROR(INDEX('Liste des ingrédients'!$G$5:$G$98,MATCH($B428,'Liste des ingrédients'!$B$5:$B$98,0)),"?"))</f>
        <v/>
      </c>
      <c r="G428" s="24" t="n">
        <f aca="false">IF(OR($B428="",$C428=""),0,IFERROR($C428*E428/IF(OR(F428="kg",F428="L"),1000,1),0))</f>
        <v>0</v>
      </c>
      <c r="H428" s="22" t="str">
        <f aca="false">IF(AND($A428&lt;&gt;"",$A428='Fiche plat'!$C$3),COUNTIF($A$5:$A428,'Fiche plat'!$C$3),"")</f>
        <v/>
      </c>
      <c r="I428" s="0" t="str">
        <f aca="false">IF($A428="","",IFERROR(INDEX(Plats!$D$5:$D$48,MATCH($A428,Plats!$I$5:$I$48,0)),""))</f>
        <v/>
      </c>
    </row>
    <row r="429" customFormat="false" ht="15" hidden="false" customHeight="false" outlineLevel="0" collapsed="false">
      <c r="A429" s="36"/>
      <c r="B429" s="22"/>
      <c r="C429" s="35"/>
      <c r="D429" s="22" t="str">
        <f aca="false">IF($B429="","",IF(F429="kg","g",IF(F429="L","ml",F429)))</f>
        <v/>
      </c>
      <c r="E429" s="24" t="str">
        <f aca="false">IF($B429="","",IFERROR(INDEX('Liste des ingrédients'!$H$5:$H$98,MATCH($B429,'Liste des ingrédients'!$B$5:$B$98,0)),0))</f>
        <v/>
      </c>
      <c r="F429" s="22" t="str">
        <f aca="false">IF($B429="","",IFERROR(INDEX('Liste des ingrédients'!$G$5:$G$98,MATCH($B429,'Liste des ingrédients'!$B$5:$B$98,0)),"?"))</f>
        <v/>
      </c>
      <c r="G429" s="24" t="n">
        <f aca="false">IF(OR($B429="",$C429=""),0,IFERROR($C429*E429/IF(OR(F429="kg",F429="L"),1000,1),0))</f>
        <v>0</v>
      </c>
      <c r="H429" s="22" t="str">
        <f aca="false">IF(AND($A429&lt;&gt;"",$A429='Fiche plat'!$C$3),COUNTIF($A$5:$A429,'Fiche plat'!$C$3),"")</f>
        <v/>
      </c>
      <c r="I429" s="0" t="str">
        <f aca="false">IF($A429="","",IFERROR(INDEX(Plats!$D$5:$D$48,MATCH($A429,Plats!$I$5:$I$48,0)),""))</f>
        <v/>
      </c>
    </row>
    <row r="430" customFormat="false" ht="15" hidden="false" customHeight="false" outlineLevel="0" collapsed="false">
      <c r="A430" s="36"/>
      <c r="B430" s="22"/>
      <c r="C430" s="35"/>
      <c r="D430" s="22" t="str">
        <f aca="false">IF($B430="","",IF(F430="kg","g",IF(F430="L","ml",F430)))</f>
        <v/>
      </c>
      <c r="E430" s="24" t="str">
        <f aca="false">IF($B430="","",IFERROR(INDEX('Liste des ingrédients'!$H$5:$H$98,MATCH($B430,'Liste des ingrédients'!$B$5:$B$98,0)),0))</f>
        <v/>
      </c>
      <c r="F430" s="22" t="str">
        <f aca="false">IF($B430="","",IFERROR(INDEX('Liste des ingrédients'!$G$5:$G$98,MATCH($B430,'Liste des ingrédients'!$B$5:$B$98,0)),"?"))</f>
        <v/>
      </c>
      <c r="G430" s="24" t="n">
        <f aca="false">IF(OR($B430="",$C430=""),0,IFERROR($C430*E430/IF(OR(F430="kg",F430="L"),1000,1),0))</f>
        <v>0</v>
      </c>
      <c r="H430" s="22" t="str">
        <f aca="false">IF(AND($A430&lt;&gt;"",$A430='Fiche plat'!$C$3),COUNTIF($A$5:$A430,'Fiche plat'!$C$3),"")</f>
        <v/>
      </c>
      <c r="I430" s="0" t="str">
        <f aca="false">IF($A430="","",IFERROR(INDEX(Plats!$D$5:$D$48,MATCH($A430,Plats!$I$5:$I$48,0)),""))</f>
        <v/>
      </c>
    </row>
    <row r="431" customFormat="false" ht="15" hidden="false" customHeight="false" outlineLevel="0" collapsed="false">
      <c r="A431" s="36"/>
      <c r="B431" s="22"/>
      <c r="C431" s="35"/>
      <c r="D431" s="22" t="str">
        <f aca="false">IF($B431="","",IF(F431="kg","g",IF(F431="L","ml",F431)))</f>
        <v/>
      </c>
      <c r="E431" s="24" t="str">
        <f aca="false">IF($B431="","",IFERROR(INDEX('Liste des ingrédients'!$H$5:$H$98,MATCH($B431,'Liste des ingrédients'!$B$5:$B$98,0)),0))</f>
        <v/>
      </c>
      <c r="F431" s="22" t="str">
        <f aca="false">IF($B431="","",IFERROR(INDEX('Liste des ingrédients'!$G$5:$G$98,MATCH($B431,'Liste des ingrédients'!$B$5:$B$98,0)),"?"))</f>
        <v/>
      </c>
      <c r="G431" s="24" t="n">
        <f aca="false">IF(OR($B431="",$C431=""),0,IFERROR($C431*E431/IF(OR(F431="kg",F431="L"),1000,1),0))</f>
        <v>0</v>
      </c>
      <c r="H431" s="22" t="str">
        <f aca="false">IF(AND($A431&lt;&gt;"",$A431='Fiche plat'!$C$3),COUNTIF($A$5:$A431,'Fiche plat'!$C$3),"")</f>
        <v/>
      </c>
      <c r="I431" s="0" t="str">
        <f aca="false">IF($A431="","",IFERROR(INDEX(Plats!$D$5:$D$48,MATCH($A431,Plats!$I$5:$I$48,0)),""))</f>
        <v/>
      </c>
    </row>
    <row r="432" customFormat="false" ht="15" hidden="false" customHeight="false" outlineLevel="0" collapsed="false">
      <c r="A432" s="36"/>
      <c r="B432" s="22"/>
      <c r="C432" s="35"/>
      <c r="D432" s="22" t="str">
        <f aca="false">IF($B432="","",IF(F432="kg","g",IF(F432="L","ml",F432)))</f>
        <v/>
      </c>
      <c r="E432" s="24" t="str">
        <f aca="false">IF($B432="","",IFERROR(INDEX('Liste des ingrédients'!$H$5:$H$98,MATCH($B432,'Liste des ingrédients'!$B$5:$B$98,0)),0))</f>
        <v/>
      </c>
      <c r="F432" s="22" t="str">
        <f aca="false">IF($B432="","",IFERROR(INDEX('Liste des ingrédients'!$G$5:$G$98,MATCH($B432,'Liste des ingrédients'!$B$5:$B$98,0)),"?"))</f>
        <v/>
      </c>
      <c r="G432" s="24" t="n">
        <f aca="false">IF(OR($B432="",$C432=""),0,IFERROR($C432*E432/IF(OR(F432="kg",F432="L"),1000,1),0))</f>
        <v>0</v>
      </c>
      <c r="H432" s="22" t="str">
        <f aca="false">IF(AND($A432&lt;&gt;"",$A432='Fiche plat'!$C$3),COUNTIF($A$5:$A432,'Fiche plat'!$C$3),"")</f>
        <v/>
      </c>
      <c r="I432" s="0" t="str">
        <f aca="false">IF($A432="","",IFERROR(INDEX(Plats!$D$5:$D$48,MATCH($A432,Plats!$I$5:$I$48,0)),""))</f>
        <v/>
      </c>
    </row>
    <row r="433" customFormat="false" ht="15" hidden="false" customHeight="false" outlineLevel="0" collapsed="false">
      <c r="A433" s="36"/>
      <c r="B433" s="22"/>
      <c r="C433" s="35"/>
      <c r="D433" s="22" t="str">
        <f aca="false">IF($B433="","",IF(F433="kg","g",IF(F433="L","ml",F433)))</f>
        <v/>
      </c>
      <c r="E433" s="24" t="str">
        <f aca="false">IF($B433="","",IFERROR(INDEX('Liste des ingrédients'!$H$5:$H$98,MATCH($B433,'Liste des ingrédients'!$B$5:$B$98,0)),0))</f>
        <v/>
      </c>
      <c r="F433" s="22" t="str">
        <f aca="false">IF($B433="","",IFERROR(INDEX('Liste des ingrédients'!$G$5:$G$98,MATCH($B433,'Liste des ingrédients'!$B$5:$B$98,0)),"?"))</f>
        <v/>
      </c>
      <c r="G433" s="24" t="n">
        <f aca="false">IF(OR($B433="",$C433=""),0,IFERROR($C433*E433/IF(OR(F433="kg",F433="L"),1000,1),0))</f>
        <v>0</v>
      </c>
      <c r="H433" s="22" t="str">
        <f aca="false">IF(AND($A433&lt;&gt;"",$A433='Fiche plat'!$C$3),COUNTIF($A$5:$A433,'Fiche plat'!$C$3),"")</f>
        <v/>
      </c>
      <c r="I433" s="0" t="str">
        <f aca="false">IF($A433="","",IFERROR(INDEX(Plats!$D$5:$D$48,MATCH($A433,Plats!$I$5:$I$48,0)),""))</f>
        <v/>
      </c>
    </row>
    <row r="434" customFormat="false" ht="15" hidden="false" customHeight="false" outlineLevel="0" collapsed="false">
      <c r="A434" s="36"/>
      <c r="B434" s="22"/>
      <c r="C434" s="35"/>
      <c r="D434" s="22" t="str">
        <f aca="false">IF($B434="","",IF(F434="kg","g",IF(F434="L","ml",F434)))</f>
        <v/>
      </c>
      <c r="E434" s="24" t="str">
        <f aca="false">IF($B434="","",IFERROR(INDEX('Liste des ingrédients'!$H$5:$H$98,MATCH($B434,'Liste des ingrédients'!$B$5:$B$98,0)),0))</f>
        <v/>
      </c>
      <c r="F434" s="22" t="str">
        <f aca="false">IF($B434="","",IFERROR(INDEX('Liste des ingrédients'!$G$5:$G$98,MATCH($B434,'Liste des ingrédients'!$B$5:$B$98,0)),"?"))</f>
        <v/>
      </c>
      <c r="G434" s="24" t="n">
        <f aca="false">IF(OR($B434="",$C434=""),0,IFERROR($C434*E434/IF(OR(F434="kg",F434="L"),1000,1),0))</f>
        <v>0</v>
      </c>
      <c r="H434" s="22" t="str">
        <f aca="false">IF(AND($A434&lt;&gt;"",$A434='Fiche plat'!$C$3),COUNTIF($A$5:$A434,'Fiche plat'!$C$3),"")</f>
        <v/>
      </c>
      <c r="I434" s="0" t="str">
        <f aca="false">IF($A434="","",IFERROR(INDEX(Plats!$D$5:$D$48,MATCH($A434,Plats!$I$5:$I$48,0)),""))</f>
        <v/>
      </c>
    </row>
    <row r="435" customFormat="false" ht="15" hidden="false" customHeight="false" outlineLevel="0" collapsed="false">
      <c r="A435" s="36"/>
      <c r="B435" s="22"/>
      <c r="C435" s="35"/>
      <c r="D435" s="22" t="str">
        <f aca="false">IF($B435="","",IF(F435="kg","g",IF(F435="L","ml",F435)))</f>
        <v/>
      </c>
      <c r="E435" s="24" t="str">
        <f aca="false">IF($B435="","",IFERROR(INDEX('Liste des ingrédients'!$H$5:$H$98,MATCH($B435,'Liste des ingrédients'!$B$5:$B$98,0)),0))</f>
        <v/>
      </c>
      <c r="F435" s="22" t="str">
        <f aca="false">IF($B435="","",IFERROR(INDEX('Liste des ingrédients'!$G$5:$G$98,MATCH($B435,'Liste des ingrédients'!$B$5:$B$98,0)),"?"))</f>
        <v/>
      </c>
      <c r="G435" s="24" t="n">
        <f aca="false">IF(OR($B435="",$C435=""),0,IFERROR($C435*E435/IF(OR(F435="kg",F435="L"),1000,1),0))</f>
        <v>0</v>
      </c>
      <c r="H435" s="22" t="str">
        <f aca="false">IF(AND($A435&lt;&gt;"",$A435='Fiche plat'!$C$3),COUNTIF($A$5:$A435,'Fiche plat'!$C$3),"")</f>
        <v/>
      </c>
      <c r="I435" s="0" t="str">
        <f aca="false">IF($A435="","",IFERROR(INDEX(Plats!$D$5:$D$48,MATCH($A435,Plats!$I$5:$I$48,0)),""))</f>
        <v/>
      </c>
    </row>
    <row r="436" customFormat="false" ht="15" hidden="false" customHeight="false" outlineLevel="0" collapsed="false">
      <c r="A436" s="36"/>
      <c r="B436" s="22"/>
      <c r="C436" s="35"/>
      <c r="D436" s="22" t="str">
        <f aca="false">IF($B436="","",IF(F436="kg","g",IF(F436="L","ml",F436)))</f>
        <v/>
      </c>
      <c r="E436" s="24" t="str">
        <f aca="false">IF($B436="","",IFERROR(INDEX('Liste des ingrédients'!$H$5:$H$98,MATCH($B436,'Liste des ingrédients'!$B$5:$B$98,0)),0))</f>
        <v/>
      </c>
      <c r="F436" s="22" t="str">
        <f aca="false">IF($B436="","",IFERROR(INDEX('Liste des ingrédients'!$G$5:$G$98,MATCH($B436,'Liste des ingrédients'!$B$5:$B$98,0)),"?"))</f>
        <v/>
      </c>
      <c r="G436" s="24" t="n">
        <f aca="false">IF(OR($B436="",$C436=""),0,IFERROR($C436*E436/IF(OR(F436="kg",F436="L"),1000,1),0))</f>
        <v>0</v>
      </c>
      <c r="H436" s="22" t="str">
        <f aca="false">IF(AND($A436&lt;&gt;"",$A436='Fiche plat'!$C$3),COUNTIF($A$5:$A436,'Fiche plat'!$C$3),"")</f>
        <v/>
      </c>
      <c r="I436" s="0" t="str">
        <f aca="false">IF($A436="","",IFERROR(INDEX(Plats!$D$5:$D$48,MATCH($A436,Plats!$I$5:$I$48,0)),""))</f>
        <v/>
      </c>
    </row>
    <row r="437" customFormat="false" ht="15" hidden="false" customHeight="false" outlineLevel="0" collapsed="false">
      <c r="A437" s="36"/>
      <c r="B437" s="22"/>
      <c r="C437" s="35"/>
      <c r="D437" s="22" t="str">
        <f aca="false">IF($B437="","",IF(F437="kg","g",IF(F437="L","ml",F437)))</f>
        <v/>
      </c>
      <c r="E437" s="24" t="str">
        <f aca="false">IF($B437="","",IFERROR(INDEX('Liste des ingrédients'!$H$5:$H$98,MATCH($B437,'Liste des ingrédients'!$B$5:$B$98,0)),0))</f>
        <v/>
      </c>
      <c r="F437" s="22" t="str">
        <f aca="false">IF($B437="","",IFERROR(INDEX('Liste des ingrédients'!$G$5:$G$98,MATCH($B437,'Liste des ingrédients'!$B$5:$B$98,0)),"?"))</f>
        <v/>
      </c>
      <c r="G437" s="24" t="n">
        <f aca="false">IF(OR($B437="",$C437=""),0,IFERROR($C437*E437/IF(OR(F437="kg",F437="L"),1000,1),0))</f>
        <v>0</v>
      </c>
      <c r="H437" s="22" t="str">
        <f aca="false">IF(AND($A437&lt;&gt;"",$A437='Fiche plat'!$C$3),COUNTIF($A$5:$A437,'Fiche plat'!$C$3),"")</f>
        <v/>
      </c>
      <c r="I437" s="0" t="str">
        <f aca="false">IF($A437="","",IFERROR(INDEX(Plats!$D$5:$D$48,MATCH($A437,Plats!$I$5:$I$48,0)),""))</f>
        <v/>
      </c>
    </row>
    <row r="438" customFormat="false" ht="15" hidden="false" customHeight="false" outlineLevel="0" collapsed="false">
      <c r="A438" s="36"/>
      <c r="B438" s="22"/>
      <c r="C438" s="35"/>
      <c r="D438" s="22" t="str">
        <f aca="false">IF($B438="","",IF(F438="kg","g",IF(F438="L","ml",F438)))</f>
        <v/>
      </c>
      <c r="E438" s="24" t="str">
        <f aca="false">IF($B438="","",IFERROR(INDEX('Liste des ingrédients'!$H$5:$H$98,MATCH($B438,'Liste des ingrédients'!$B$5:$B$98,0)),0))</f>
        <v/>
      </c>
      <c r="F438" s="22" t="str">
        <f aca="false">IF($B438="","",IFERROR(INDEX('Liste des ingrédients'!$G$5:$G$98,MATCH($B438,'Liste des ingrédients'!$B$5:$B$98,0)),"?"))</f>
        <v/>
      </c>
      <c r="G438" s="24" t="n">
        <f aca="false">IF(OR($B438="",$C438=""),0,IFERROR($C438*E438/IF(OR(F438="kg",F438="L"),1000,1),0))</f>
        <v>0</v>
      </c>
      <c r="H438" s="22" t="str">
        <f aca="false">IF(AND($A438&lt;&gt;"",$A438='Fiche plat'!$C$3),COUNTIF($A$5:$A438,'Fiche plat'!$C$3),"")</f>
        <v/>
      </c>
      <c r="I438" s="0" t="str">
        <f aca="false">IF($A438="","",IFERROR(INDEX(Plats!$D$5:$D$48,MATCH($A438,Plats!$I$5:$I$48,0)),""))</f>
        <v/>
      </c>
    </row>
    <row r="439" customFormat="false" ht="15" hidden="false" customHeight="false" outlineLevel="0" collapsed="false">
      <c r="A439" s="36"/>
      <c r="B439" s="22"/>
      <c r="C439" s="35"/>
      <c r="D439" s="22" t="str">
        <f aca="false">IF($B439="","",IF(F439="kg","g",IF(F439="L","ml",F439)))</f>
        <v/>
      </c>
      <c r="E439" s="24" t="str">
        <f aca="false">IF($B439="","",IFERROR(INDEX('Liste des ingrédients'!$H$5:$H$98,MATCH($B439,'Liste des ingrédients'!$B$5:$B$98,0)),0))</f>
        <v/>
      </c>
      <c r="F439" s="22" t="str">
        <f aca="false">IF($B439="","",IFERROR(INDEX('Liste des ingrédients'!$G$5:$G$98,MATCH($B439,'Liste des ingrédients'!$B$5:$B$98,0)),"?"))</f>
        <v/>
      </c>
      <c r="G439" s="24" t="n">
        <f aca="false">IF(OR($B439="",$C439=""),0,IFERROR($C439*E439/IF(OR(F439="kg",F439="L"),1000,1),0))</f>
        <v>0</v>
      </c>
      <c r="H439" s="22" t="str">
        <f aca="false">IF(AND($A439&lt;&gt;"",$A439='Fiche plat'!$C$3),COUNTIF($A$5:$A439,'Fiche plat'!$C$3),"")</f>
        <v/>
      </c>
      <c r="I439" s="0" t="str">
        <f aca="false">IF($A439="","",IFERROR(INDEX(Plats!$D$5:$D$48,MATCH($A439,Plats!$I$5:$I$48,0)),""))</f>
        <v/>
      </c>
    </row>
    <row r="440" customFormat="false" ht="15" hidden="false" customHeight="false" outlineLevel="0" collapsed="false">
      <c r="A440" s="36"/>
      <c r="B440" s="22"/>
      <c r="C440" s="35"/>
      <c r="D440" s="22" t="str">
        <f aca="false">IF($B440="","",IF(F440="kg","g",IF(F440="L","ml",F440)))</f>
        <v/>
      </c>
      <c r="E440" s="24" t="str">
        <f aca="false">IF($B440="","",IFERROR(INDEX('Liste des ingrédients'!$H$5:$H$98,MATCH($B440,'Liste des ingrédients'!$B$5:$B$98,0)),0))</f>
        <v/>
      </c>
      <c r="F440" s="22" t="str">
        <f aca="false">IF($B440="","",IFERROR(INDEX('Liste des ingrédients'!$G$5:$G$98,MATCH($B440,'Liste des ingrédients'!$B$5:$B$98,0)),"?"))</f>
        <v/>
      </c>
      <c r="G440" s="24" t="n">
        <f aca="false">IF(OR($B440="",$C440=""),0,IFERROR($C440*E440/IF(OR(F440="kg",F440="L"),1000,1),0))</f>
        <v>0</v>
      </c>
      <c r="H440" s="22" t="str">
        <f aca="false">IF(AND($A440&lt;&gt;"",$A440='Fiche plat'!$C$3),COUNTIF($A$5:$A440,'Fiche plat'!$C$3),"")</f>
        <v/>
      </c>
      <c r="I440" s="0" t="str">
        <f aca="false">IF($A440="","",IFERROR(INDEX(Plats!$D$5:$D$48,MATCH($A440,Plats!$I$5:$I$48,0)),""))</f>
        <v/>
      </c>
    </row>
    <row r="441" customFormat="false" ht="15" hidden="false" customHeight="false" outlineLevel="0" collapsed="false">
      <c r="A441" s="36"/>
      <c r="B441" s="22"/>
      <c r="C441" s="35"/>
      <c r="D441" s="22" t="str">
        <f aca="false">IF($B441="","",IF(F441="kg","g",IF(F441="L","ml",F441)))</f>
        <v/>
      </c>
      <c r="E441" s="24" t="str">
        <f aca="false">IF($B441="","",IFERROR(INDEX('Liste des ingrédients'!$H$5:$H$98,MATCH($B441,'Liste des ingrédients'!$B$5:$B$98,0)),0))</f>
        <v/>
      </c>
      <c r="F441" s="22" t="str">
        <f aca="false">IF($B441="","",IFERROR(INDEX('Liste des ingrédients'!$G$5:$G$98,MATCH($B441,'Liste des ingrédients'!$B$5:$B$98,0)),"?"))</f>
        <v/>
      </c>
      <c r="G441" s="24" t="n">
        <f aca="false">IF(OR($B441="",$C441=""),0,IFERROR($C441*E441/IF(OR(F441="kg",F441="L"),1000,1),0))</f>
        <v>0</v>
      </c>
      <c r="H441" s="22" t="str">
        <f aca="false">IF(AND($A441&lt;&gt;"",$A441='Fiche plat'!$C$3),COUNTIF($A$5:$A441,'Fiche plat'!$C$3),"")</f>
        <v/>
      </c>
      <c r="I441" s="0" t="str">
        <f aca="false">IF($A441="","",IFERROR(INDEX(Plats!$D$5:$D$48,MATCH($A441,Plats!$I$5:$I$48,0)),""))</f>
        <v/>
      </c>
    </row>
    <row r="442" customFormat="false" ht="15" hidden="false" customHeight="false" outlineLevel="0" collapsed="false">
      <c r="A442" s="36"/>
      <c r="B442" s="22"/>
      <c r="C442" s="35"/>
      <c r="D442" s="22" t="str">
        <f aca="false">IF($B442="","",IF(F442="kg","g",IF(F442="L","ml",F442)))</f>
        <v/>
      </c>
      <c r="E442" s="24" t="str">
        <f aca="false">IF($B442="","",IFERROR(INDEX('Liste des ingrédients'!$H$5:$H$98,MATCH($B442,'Liste des ingrédients'!$B$5:$B$98,0)),0))</f>
        <v/>
      </c>
      <c r="F442" s="22" t="str">
        <f aca="false">IF($B442="","",IFERROR(INDEX('Liste des ingrédients'!$G$5:$G$98,MATCH($B442,'Liste des ingrédients'!$B$5:$B$98,0)),"?"))</f>
        <v/>
      </c>
      <c r="G442" s="24" t="n">
        <f aca="false">IF(OR($B442="",$C442=""),0,IFERROR($C442*E442/IF(OR(F442="kg",F442="L"),1000,1),0))</f>
        <v>0</v>
      </c>
      <c r="H442" s="22" t="str">
        <f aca="false">IF(AND($A442&lt;&gt;"",$A442='Fiche plat'!$C$3),COUNTIF($A$5:$A442,'Fiche plat'!$C$3),"")</f>
        <v/>
      </c>
      <c r="I442" s="0" t="str">
        <f aca="false">IF($A442="","",IFERROR(INDEX(Plats!$D$5:$D$48,MATCH($A442,Plats!$I$5:$I$48,0)),""))</f>
        <v/>
      </c>
    </row>
    <row r="443" customFormat="false" ht="15" hidden="false" customHeight="false" outlineLevel="0" collapsed="false">
      <c r="A443" s="36"/>
      <c r="B443" s="22"/>
      <c r="C443" s="35"/>
      <c r="D443" s="22" t="str">
        <f aca="false">IF($B443="","",IF(F443="kg","g",IF(F443="L","ml",F443)))</f>
        <v/>
      </c>
      <c r="E443" s="24" t="str">
        <f aca="false">IF($B443="","",IFERROR(INDEX('Liste des ingrédients'!$H$5:$H$98,MATCH($B443,'Liste des ingrédients'!$B$5:$B$98,0)),0))</f>
        <v/>
      </c>
      <c r="F443" s="22" t="str">
        <f aca="false">IF($B443="","",IFERROR(INDEX('Liste des ingrédients'!$G$5:$G$98,MATCH($B443,'Liste des ingrédients'!$B$5:$B$98,0)),"?"))</f>
        <v/>
      </c>
      <c r="G443" s="24" t="n">
        <f aca="false">IF(OR($B443="",$C443=""),0,IFERROR($C443*E443/IF(OR(F443="kg",F443="L"),1000,1),0))</f>
        <v>0</v>
      </c>
      <c r="H443" s="22" t="str">
        <f aca="false">IF(AND($A443&lt;&gt;"",$A443='Fiche plat'!$C$3),COUNTIF($A$5:$A443,'Fiche plat'!$C$3),"")</f>
        <v/>
      </c>
      <c r="I443" s="0" t="str">
        <f aca="false">IF($A443="","",IFERROR(INDEX(Plats!$D$5:$D$48,MATCH($A443,Plats!$I$5:$I$48,0)),""))</f>
        <v/>
      </c>
    </row>
    <row r="444" customFormat="false" ht="15" hidden="false" customHeight="false" outlineLevel="0" collapsed="false">
      <c r="A444" s="36"/>
      <c r="B444" s="22"/>
      <c r="C444" s="35"/>
      <c r="D444" s="22" t="str">
        <f aca="false">IF($B444="","",IF(F444="kg","g",IF(F444="L","ml",F444)))</f>
        <v/>
      </c>
      <c r="E444" s="24" t="str">
        <f aca="false">IF($B444="","",IFERROR(INDEX('Liste des ingrédients'!$H$5:$H$98,MATCH($B444,'Liste des ingrédients'!$B$5:$B$98,0)),0))</f>
        <v/>
      </c>
      <c r="F444" s="22" t="str">
        <f aca="false">IF($B444="","",IFERROR(INDEX('Liste des ingrédients'!$G$5:$G$98,MATCH($B444,'Liste des ingrédients'!$B$5:$B$98,0)),"?"))</f>
        <v/>
      </c>
      <c r="G444" s="24" t="n">
        <f aca="false">IF(OR($B444="",$C444=""),0,IFERROR($C444*E444/IF(OR(F444="kg",F444="L"),1000,1),0))</f>
        <v>0</v>
      </c>
      <c r="H444" s="22" t="str">
        <f aca="false">IF(AND($A444&lt;&gt;"",$A444='Fiche plat'!$C$3),COUNTIF($A$5:$A444,'Fiche plat'!$C$3),"")</f>
        <v/>
      </c>
      <c r="I444" s="0" t="str">
        <f aca="false">IF($A444="","",IFERROR(INDEX(Plats!$D$5:$D$48,MATCH($A444,Plats!$I$5:$I$48,0)),""))</f>
        <v/>
      </c>
    </row>
    <row r="445" customFormat="false" ht="15" hidden="false" customHeight="false" outlineLevel="0" collapsed="false">
      <c r="A445" s="36"/>
      <c r="B445" s="22"/>
      <c r="C445" s="35"/>
      <c r="D445" s="22" t="str">
        <f aca="false">IF($B445="","",IF(F445="kg","g",IF(F445="L","ml",F445)))</f>
        <v/>
      </c>
      <c r="E445" s="24" t="str">
        <f aca="false">IF($B445="","",IFERROR(INDEX('Liste des ingrédients'!$H$5:$H$98,MATCH($B445,'Liste des ingrédients'!$B$5:$B$98,0)),0))</f>
        <v/>
      </c>
      <c r="F445" s="22" t="str">
        <f aca="false">IF($B445="","",IFERROR(INDEX('Liste des ingrédients'!$G$5:$G$98,MATCH($B445,'Liste des ingrédients'!$B$5:$B$98,0)),"?"))</f>
        <v/>
      </c>
      <c r="G445" s="24" t="n">
        <f aca="false">IF(OR($B445="",$C445=""),0,IFERROR($C445*E445/IF(OR(F445="kg",F445="L"),1000,1),0))</f>
        <v>0</v>
      </c>
      <c r="H445" s="22" t="str">
        <f aca="false">IF(AND($A445&lt;&gt;"",$A445='Fiche plat'!$C$3),COUNTIF($A$5:$A445,'Fiche plat'!$C$3),"")</f>
        <v/>
      </c>
      <c r="I445" s="0" t="str">
        <f aca="false">IF($A445="","",IFERROR(INDEX(Plats!$D$5:$D$48,MATCH($A445,Plats!$I$5:$I$48,0)),""))</f>
        <v/>
      </c>
    </row>
    <row r="446" customFormat="false" ht="15" hidden="false" customHeight="false" outlineLevel="0" collapsed="false">
      <c r="A446" s="36"/>
      <c r="B446" s="22"/>
      <c r="C446" s="35"/>
      <c r="D446" s="22" t="str">
        <f aca="false">IF($B446="","",IF(F446="kg","g",IF(F446="L","ml",F446)))</f>
        <v/>
      </c>
      <c r="E446" s="24" t="str">
        <f aca="false">IF($B446="","",IFERROR(INDEX('Liste des ingrédients'!$H$5:$H$98,MATCH($B446,'Liste des ingrédients'!$B$5:$B$98,0)),0))</f>
        <v/>
      </c>
      <c r="F446" s="22" t="str">
        <f aca="false">IF($B446="","",IFERROR(INDEX('Liste des ingrédients'!$G$5:$G$98,MATCH($B446,'Liste des ingrédients'!$B$5:$B$98,0)),"?"))</f>
        <v/>
      </c>
      <c r="G446" s="24" t="n">
        <f aca="false">IF(OR($B446="",$C446=""),0,IFERROR($C446*E446/IF(OR(F446="kg",F446="L"),1000,1),0))</f>
        <v>0</v>
      </c>
      <c r="H446" s="22" t="str">
        <f aca="false">IF(AND($A446&lt;&gt;"",$A446='Fiche plat'!$C$3),COUNTIF($A$5:$A446,'Fiche plat'!$C$3),"")</f>
        <v/>
      </c>
      <c r="I446" s="0" t="str">
        <f aca="false">IF($A446="","",IFERROR(INDEX(Plats!$D$5:$D$48,MATCH($A446,Plats!$I$5:$I$48,0)),""))</f>
        <v/>
      </c>
    </row>
    <row r="447" customFormat="false" ht="15" hidden="false" customHeight="false" outlineLevel="0" collapsed="false">
      <c r="A447" s="36"/>
      <c r="B447" s="22"/>
      <c r="C447" s="35"/>
      <c r="D447" s="22" t="str">
        <f aca="false">IF($B447="","",IF(F447="kg","g",IF(F447="L","ml",F447)))</f>
        <v/>
      </c>
      <c r="E447" s="24" t="str">
        <f aca="false">IF($B447="","",IFERROR(INDEX('Liste des ingrédients'!$H$5:$H$98,MATCH($B447,'Liste des ingrédients'!$B$5:$B$98,0)),0))</f>
        <v/>
      </c>
      <c r="F447" s="22" t="str">
        <f aca="false">IF($B447="","",IFERROR(INDEX('Liste des ingrédients'!$G$5:$G$98,MATCH($B447,'Liste des ingrédients'!$B$5:$B$98,0)),"?"))</f>
        <v/>
      </c>
      <c r="G447" s="24" t="n">
        <f aca="false">IF(OR($B447="",$C447=""),0,IFERROR($C447*E447/IF(OR(F447="kg",F447="L"),1000,1),0))</f>
        <v>0</v>
      </c>
      <c r="H447" s="22" t="str">
        <f aca="false">IF(AND($A447&lt;&gt;"",$A447='Fiche plat'!$C$3),COUNTIF($A$5:$A447,'Fiche plat'!$C$3),"")</f>
        <v/>
      </c>
      <c r="I447" s="0" t="str">
        <f aca="false">IF($A447="","",IFERROR(INDEX(Plats!$D$5:$D$48,MATCH($A447,Plats!$I$5:$I$48,0)),""))</f>
        <v/>
      </c>
    </row>
    <row r="448" customFormat="false" ht="15" hidden="false" customHeight="false" outlineLevel="0" collapsed="false">
      <c r="A448" s="36"/>
      <c r="B448" s="22"/>
      <c r="C448" s="35"/>
      <c r="D448" s="22" t="str">
        <f aca="false">IF($B448="","",IF(F448="kg","g",IF(F448="L","ml",F448)))</f>
        <v/>
      </c>
      <c r="E448" s="24" t="str">
        <f aca="false">IF($B448="","",IFERROR(INDEX('Liste des ingrédients'!$H$5:$H$98,MATCH($B448,'Liste des ingrédients'!$B$5:$B$98,0)),0))</f>
        <v/>
      </c>
      <c r="F448" s="22" t="str">
        <f aca="false">IF($B448="","",IFERROR(INDEX('Liste des ingrédients'!$G$5:$G$98,MATCH($B448,'Liste des ingrédients'!$B$5:$B$98,0)),"?"))</f>
        <v/>
      </c>
      <c r="G448" s="24" t="n">
        <f aca="false">IF(OR($B448="",$C448=""),0,IFERROR($C448*E448/IF(OR(F448="kg",F448="L"),1000,1),0))</f>
        <v>0</v>
      </c>
      <c r="H448" s="22" t="str">
        <f aca="false">IF(AND($A448&lt;&gt;"",$A448='Fiche plat'!$C$3),COUNTIF($A$5:$A448,'Fiche plat'!$C$3),"")</f>
        <v/>
      </c>
      <c r="I448" s="0" t="str">
        <f aca="false">IF($A448="","",IFERROR(INDEX(Plats!$D$5:$D$48,MATCH($A448,Plats!$I$5:$I$48,0)),""))</f>
        <v/>
      </c>
    </row>
    <row r="449" customFormat="false" ht="15" hidden="false" customHeight="false" outlineLevel="0" collapsed="false">
      <c r="A449" s="36"/>
      <c r="B449" s="22"/>
      <c r="C449" s="35"/>
      <c r="D449" s="22" t="str">
        <f aca="false">IF($B449="","",IF(F449="kg","g",IF(F449="L","ml",F449)))</f>
        <v/>
      </c>
      <c r="E449" s="24" t="str">
        <f aca="false">IF($B449="","",IFERROR(INDEX('Liste des ingrédients'!$H$5:$H$98,MATCH($B449,'Liste des ingrédients'!$B$5:$B$98,0)),0))</f>
        <v/>
      </c>
      <c r="F449" s="22" t="str">
        <f aca="false">IF($B449="","",IFERROR(INDEX('Liste des ingrédients'!$G$5:$G$98,MATCH($B449,'Liste des ingrédients'!$B$5:$B$98,0)),"?"))</f>
        <v/>
      </c>
      <c r="G449" s="24" t="n">
        <f aca="false">IF(OR($B449="",$C449=""),0,IFERROR($C449*E449/IF(OR(F449="kg",F449="L"),1000,1),0))</f>
        <v>0</v>
      </c>
      <c r="H449" s="22" t="str">
        <f aca="false">IF(AND($A449&lt;&gt;"",$A449='Fiche plat'!$C$3),COUNTIF($A$5:$A449,'Fiche plat'!$C$3),"")</f>
        <v/>
      </c>
      <c r="I449" s="0" t="str">
        <f aca="false">IF($A449="","",IFERROR(INDEX(Plats!$D$5:$D$48,MATCH($A449,Plats!$I$5:$I$48,0)),""))</f>
        <v/>
      </c>
    </row>
    <row r="450" customFormat="false" ht="15" hidden="false" customHeight="false" outlineLevel="0" collapsed="false">
      <c r="A450" s="36"/>
      <c r="B450" s="22"/>
      <c r="C450" s="35"/>
      <c r="D450" s="22" t="str">
        <f aca="false">IF($B450="","",IF(F450="kg","g",IF(F450="L","ml",F450)))</f>
        <v/>
      </c>
      <c r="E450" s="24" t="str">
        <f aca="false">IF($B450="","",IFERROR(INDEX('Liste des ingrédients'!$H$5:$H$98,MATCH($B450,'Liste des ingrédients'!$B$5:$B$98,0)),0))</f>
        <v/>
      </c>
      <c r="F450" s="22" t="str">
        <f aca="false">IF($B450="","",IFERROR(INDEX('Liste des ingrédients'!$G$5:$G$98,MATCH($B450,'Liste des ingrédients'!$B$5:$B$98,0)),"?"))</f>
        <v/>
      </c>
      <c r="G450" s="24" t="n">
        <f aca="false">IF(OR($B450="",$C450=""),0,IFERROR($C450*E450/IF(OR(F450="kg",F450="L"),1000,1),0))</f>
        <v>0</v>
      </c>
      <c r="H450" s="22" t="str">
        <f aca="false">IF(AND($A450&lt;&gt;"",$A450='Fiche plat'!$C$3),COUNTIF($A$5:$A450,'Fiche plat'!$C$3),"")</f>
        <v/>
      </c>
      <c r="I450" s="0" t="str">
        <f aca="false">IF($A450="","",IFERROR(INDEX(Plats!$D$5:$D$48,MATCH($A450,Plats!$I$5:$I$48,0)),""))</f>
        <v/>
      </c>
    </row>
    <row r="451" customFormat="false" ht="15" hidden="false" customHeight="false" outlineLevel="0" collapsed="false">
      <c r="A451" s="36"/>
      <c r="B451" s="22"/>
      <c r="C451" s="35"/>
      <c r="D451" s="22" t="str">
        <f aca="false">IF($B451="","",IF(F451="kg","g",IF(F451="L","ml",F451)))</f>
        <v/>
      </c>
      <c r="E451" s="24" t="str">
        <f aca="false">IF($B451="","",IFERROR(INDEX('Liste des ingrédients'!$H$5:$H$98,MATCH($B451,'Liste des ingrédients'!$B$5:$B$98,0)),0))</f>
        <v/>
      </c>
      <c r="F451" s="22" t="str">
        <f aca="false">IF($B451="","",IFERROR(INDEX('Liste des ingrédients'!$G$5:$G$98,MATCH($B451,'Liste des ingrédients'!$B$5:$B$98,0)),"?"))</f>
        <v/>
      </c>
      <c r="G451" s="24" t="n">
        <f aca="false">IF(OR($B451="",$C451=""),0,IFERROR($C451*E451/IF(OR(F451="kg",F451="L"),1000,1),0))</f>
        <v>0</v>
      </c>
      <c r="H451" s="22" t="str">
        <f aca="false">IF(AND($A451&lt;&gt;"",$A451='Fiche plat'!$C$3),COUNTIF($A$5:$A451,'Fiche plat'!$C$3),"")</f>
        <v/>
      </c>
      <c r="I451" s="0" t="str">
        <f aca="false">IF($A451="","",IFERROR(INDEX(Plats!$D$5:$D$48,MATCH($A451,Plats!$I$5:$I$48,0)),""))</f>
        <v/>
      </c>
    </row>
    <row r="452" customFormat="false" ht="15" hidden="false" customHeight="false" outlineLevel="0" collapsed="false">
      <c r="A452" s="36"/>
      <c r="B452" s="22"/>
      <c r="C452" s="35"/>
      <c r="D452" s="22" t="str">
        <f aca="false">IF($B452="","",IF(F452="kg","g",IF(F452="L","ml",F452)))</f>
        <v/>
      </c>
      <c r="E452" s="24" t="str">
        <f aca="false">IF($B452="","",IFERROR(INDEX('Liste des ingrédients'!$H$5:$H$98,MATCH($B452,'Liste des ingrédients'!$B$5:$B$98,0)),0))</f>
        <v/>
      </c>
      <c r="F452" s="22" t="str">
        <f aca="false">IF($B452="","",IFERROR(INDEX('Liste des ingrédients'!$G$5:$G$98,MATCH($B452,'Liste des ingrédients'!$B$5:$B$98,0)),"?"))</f>
        <v/>
      </c>
      <c r="G452" s="24" t="n">
        <f aca="false">IF(OR($B452="",$C452=""),0,IFERROR($C452*E452/IF(OR(F452="kg",F452="L"),1000,1),0))</f>
        <v>0</v>
      </c>
      <c r="H452" s="22" t="str">
        <f aca="false">IF(AND($A452&lt;&gt;"",$A452='Fiche plat'!$C$3),COUNTIF($A$5:$A452,'Fiche plat'!$C$3),"")</f>
        <v/>
      </c>
      <c r="I452" s="0" t="str">
        <f aca="false">IF($A452="","",IFERROR(INDEX(Plats!$D$5:$D$48,MATCH($A452,Plats!$I$5:$I$48,0)),""))</f>
        <v/>
      </c>
    </row>
    <row r="453" customFormat="false" ht="15" hidden="false" customHeight="false" outlineLevel="0" collapsed="false">
      <c r="A453" s="36"/>
      <c r="B453" s="22"/>
      <c r="C453" s="35"/>
      <c r="D453" s="22" t="str">
        <f aca="false">IF($B453="","",IF(F453="kg","g",IF(F453="L","ml",F453)))</f>
        <v/>
      </c>
      <c r="E453" s="24" t="str">
        <f aca="false">IF($B453="","",IFERROR(INDEX('Liste des ingrédients'!$H$5:$H$98,MATCH($B453,'Liste des ingrédients'!$B$5:$B$98,0)),0))</f>
        <v/>
      </c>
      <c r="F453" s="22" t="str">
        <f aca="false">IF($B453="","",IFERROR(INDEX('Liste des ingrédients'!$G$5:$G$98,MATCH($B453,'Liste des ingrédients'!$B$5:$B$98,0)),"?"))</f>
        <v/>
      </c>
      <c r="G453" s="24" t="n">
        <f aca="false">IF(OR($B453="",$C453=""),0,IFERROR($C453*E453/IF(OR(F453="kg",F453="L"),1000,1),0))</f>
        <v>0</v>
      </c>
      <c r="H453" s="22" t="str">
        <f aca="false">IF(AND($A453&lt;&gt;"",$A453='Fiche plat'!$C$3),COUNTIF($A$5:$A453,'Fiche plat'!$C$3),"")</f>
        <v/>
      </c>
      <c r="I453" s="0" t="str">
        <f aca="false">IF($A453="","",IFERROR(INDEX(Plats!$D$5:$D$48,MATCH($A453,Plats!$I$5:$I$48,0)),""))</f>
        <v/>
      </c>
    </row>
    <row r="454" customFormat="false" ht="15" hidden="false" customHeight="false" outlineLevel="0" collapsed="false">
      <c r="A454" s="36"/>
      <c r="B454" s="22"/>
      <c r="C454" s="35"/>
      <c r="D454" s="22" t="str">
        <f aca="false">IF($B454="","",IF(F454="kg","g",IF(F454="L","ml",F454)))</f>
        <v/>
      </c>
      <c r="E454" s="24" t="str">
        <f aca="false">IF($B454="","",IFERROR(INDEX('Liste des ingrédients'!$H$5:$H$98,MATCH($B454,'Liste des ingrédients'!$B$5:$B$98,0)),0))</f>
        <v/>
      </c>
      <c r="F454" s="22" t="str">
        <f aca="false">IF($B454="","",IFERROR(INDEX('Liste des ingrédients'!$G$5:$G$98,MATCH($B454,'Liste des ingrédients'!$B$5:$B$98,0)),"?"))</f>
        <v/>
      </c>
      <c r="G454" s="24" t="n">
        <f aca="false">IF(OR($B454="",$C454=""),0,IFERROR($C454*E454/IF(OR(F454="kg",F454="L"),1000,1),0))</f>
        <v>0</v>
      </c>
      <c r="H454" s="22" t="str">
        <f aca="false">IF(AND($A454&lt;&gt;"",$A454='Fiche plat'!$C$3),COUNTIF($A$5:$A454,'Fiche plat'!$C$3),"")</f>
        <v/>
      </c>
      <c r="I454" s="0" t="str">
        <f aca="false">IF($A454="","",IFERROR(INDEX(Plats!$D$5:$D$48,MATCH($A454,Plats!$I$5:$I$48,0)),""))</f>
        <v/>
      </c>
    </row>
    <row r="455" customFormat="false" ht="15" hidden="false" customHeight="false" outlineLevel="0" collapsed="false">
      <c r="A455" s="36"/>
      <c r="B455" s="22"/>
      <c r="C455" s="35"/>
      <c r="D455" s="22" t="str">
        <f aca="false">IF($B455="","",IF(F455="kg","g",IF(F455="L","ml",F455)))</f>
        <v/>
      </c>
      <c r="E455" s="24" t="str">
        <f aca="false">IF($B455="","",IFERROR(INDEX('Liste des ingrédients'!$H$5:$H$98,MATCH($B455,'Liste des ingrédients'!$B$5:$B$98,0)),0))</f>
        <v/>
      </c>
      <c r="F455" s="22" t="str">
        <f aca="false">IF($B455="","",IFERROR(INDEX('Liste des ingrédients'!$G$5:$G$98,MATCH($B455,'Liste des ingrédients'!$B$5:$B$98,0)),"?"))</f>
        <v/>
      </c>
      <c r="G455" s="24" t="n">
        <f aca="false">IF(OR($B455="",$C455=""),0,IFERROR($C455*E455/IF(OR(F455="kg",F455="L"),1000,1),0))</f>
        <v>0</v>
      </c>
      <c r="H455" s="22" t="str">
        <f aca="false">IF(AND($A455&lt;&gt;"",$A455='Fiche plat'!$C$3),COUNTIF($A$5:$A455,'Fiche plat'!$C$3),"")</f>
        <v/>
      </c>
      <c r="I455" s="0" t="str">
        <f aca="false">IF($A455="","",IFERROR(INDEX(Plats!$D$5:$D$48,MATCH($A455,Plats!$I$5:$I$48,0)),""))</f>
        <v/>
      </c>
    </row>
    <row r="456" customFormat="false" ht="15" hidden="false" customHeight="false" outlineLevel="0" collapsed="false">
      <c r="A456" s="36"/>
      <c r="B456" s="22"/>
      <c r="C456" s="35"/>
      <c r="D456" s="22" t="str">
        <f aca="false">IF($B456="","",IF(F456="kg","g",IF(F456="L","ml",F456)))</f>
        <v/>
      </c>
      <c r="E456" s="24" t="str">
        <f aca="false">IF($B456="","",IFERROR(INDEX('Liste des ingrédients'!$H$5:$H$98,MATCH($B456,'Liste des ingrédients'!$B$5:$B$98,0)),0))</f>
        <v/>
      </c>
      <c r="F456" s="22" t="str">
        <f aca="false">IF($B456="","",IFERROR(INDEX('Liste des ingrédients'!$G$5:$G$98,MATCH($B456,'Liste des ingrédients'!$B$5:$B$98,0)),"?"))</f>
        <v/>
      </c>
      <c r="G456" s="24" t="n">
        <f aca="false">IF(OR($B456="",$C456=""),0,IFERROR($C456*E456/IF(OR(F456="kg",F456="L"),1000,1),0))</f>
        <v>0</v>
      </c>
      <c r="H456" s="22" t="str">
        <f aca="false">IF(AND($A456&lt;&gt;"",$A456='Fiche plat'!$C$3),COUNTIF($A$5:$A456,'Fiche plat'!$C$3),"")</f>
        <v/>
      </c>
      <c r="I456" s="0" t="str">
        <f aca="false">IF($A456="","",IFERROR(INDEX(Plats!$D$5:$D$48,MATCH($A456,Plats!$I$5:$I$48,0)),""))</f>
        <v/>
      </c>
    </row>
    <row r="457" customFormat="false" ht="15" hidden="false" customHeight="false" outlineLevel="0" collapsed="false">
      <c r="A457" s="36"/>
      <c r="B457" s="22"/>
      <c r="C457" s="35"/>
      <c r="D457" s="22" t="str">
        <f aca="false">IF($B457="","",IF(F457="kg","g",IF(F457="L","ml",F457)))</f>
        <v/>
      </c>
      <c r="E457" s="24" t="str">
        <f aca="false">IF($B457="","",IFERROR(INDEX('Liste des ingrédients'!$H$5:$H$98,MATCH($B457,'Liste des ingrédients'!$B$5:$B$98,0)),0))</f>
        <v/>
      </c>
      <c r="F457" s="22" t="str">
        <f aca="false">IF($B457="","",IFERROR(INDEX('Liste des ingrédients'!$G$5:$G$98,MATCH($B457,'Liste des ingrédients'!$B$5:$B$98,0)),"?"))</f>
        <v/>
      </c>
      <c r="G457" s="24" t="n">
        <f aca="false">IF(OR($B457="",$C457=""),0,IFERROR($C457*E457/IF(OR(F457="kg",F457="L"),1000,1),0))</f>
        <v>0</v>
      </c>
      <c r="H457" s="22" t="str">
        <f aca="false">IF(AND($A457&lt;&gt;"",$A457='Fiche plat'!$C$3),COUNTIF($A$5:$A457,'Fiche plat'!$C$3),"")</f>
        <v/>
      </c>
      <c r="I457" s="0" t="str">
        <f aca="false">IF($A457="","",IFERROR(INDEX(Plats!$D$5:$D$48,MATCH($A457,Plats!$I$5:$I$48,0)),""))</f>
        <v/>
      </c>
    </row>
    <row r="458" customFormat="false" ht="15" hidden="false" customHeight="false" outlineLevel="0" collapsed="false">
      <c r="A458" s="36"/>
      <c r="B458" s="22"/>
      <c r="C458" s="35"/>
      <c r="D458" s="22" t="str">
        <f aca="false">IF($B458="","",IF(F458="kg","g",IF(F458="L","ml",F458)))</f>
        <v/>
      </c>
      <c r="E458" s="24" t="str">
        <f aca="false">IF($B458="","",IFERROR(INDEX('Liste des ingrédients'!$H$5:$H$98,MATCH($B458,'Liste des ingrédients'!$B$5:$B$98,0)),0))</f>
        <v/>
      </c>
      <c r="F458" s="22" t="str">
        <f aca="false">IF($B458="","",IFERROR(INDEX('Liste des ingrédients'!$G$5:$G$98,MATCH($B458,'Liste des ingrédients'!$B$5:$B$98,0)),"?"))</f>
        <v/>
      </c>
      <c r="G458" s="24" t="n">
        <f aca="false">IF(OR($B458="",$C458=""),0,IFERROR($C458*E458/IF(OR(F458="kg",F458="L"),1000,1),0))</f>
        <v>0</v>
      </c>
      <c r="H458" s="22" t="str">
        <f aca="false">IF(AND($A458&lt;&gt;"",$A458='Fiche plat'!$C$3),COUNTIF($A$5:$A458,'Fiche plat'!$C$3),"")</f>
        <v/>
      </c>
      <c r="I458" s="0" t="str">
        <f aca="false">IF($A458="","",IFERROR(INDEX(Plats!$D$5:$D$48,MATCH($A458,Plats!$I$5:$I$48,0)),""))</f>
        <v/>
      </c>
    </row>
    <row r="459" customFormat="false" ht="15" hidden="false" customHeight="false" outlineLevel="0" collapsed="false">
      <c r="A459" s="36"/>
      <c r="B459" s="22"/>
      <c r="C459" s="35"/>
      <c r="D459" s="22" t="str">
        <f aca="false">IF($B459="","",IF(F459="kg","g",IF(F459="L","ml",F459)))</f>
        <v/>
      </c>
      <c r="E459" s="24" t="str">
        <f aca="false">IF($B459="","",IFERROR(INDEX('Liste des ingrédients'!$H$5:$H$98,MATCH($B459,'Liste des ingrédients'!$B$5:$B$98,0)),0))</f>
        <v/>
      </c>
      <c r="F459" s="22" t="str">
        <f aca="false">IF($B459="","",IFERROR(INDEX('Liste des ingrédients'!$G$5:$G$98,MATCH($B459,'Liste des ingrédients'!$B$5:$B$98,0)),"?"))</f>
        <v/>
      </c>
      <c r="G459" s="24" t="n">
        <f aca="false">IF(OR($B459="",$C459=""),0,IFERROR($C459*E459/IF(OR(F459="kg",F459="L"),1000,1),0))</f>
        <v>0</v>
      </c>
      <c r="H459" s="22" t="str">
        <f aca="false">IF(AND($A459&lt;&gt;"",$A459='Fiche plat'!$C$3),COUNTIF($A$5:$A459,'Fiche plat'!$C$3),"")</f>
        <v/>
      </c>
      <c r="I459" s="0" t="str">
        <f aca="false">IF($A459="","",IFERROR(INDEX(Plats!$D$5:$D$48,MATCH($A459,Plats!$I$5:$I$48,0)),""))</f>
        <v/>
      </c>
    </row>
    <row r="460" customFormat="false" ht="15" hidden="false" customHeight="false" outlineLevel="0" collapsed="false">
      <c r="A460" s="36"/>
      <c r="B460" s="22"/>
      <c r="C460" s="35"/>
      <c r="D460" s="22" t="str">
        <f aca="false">IF($B460="","",IF(F460="kg","g",IF(F460="L","ml",F460)))</f>
        <v/>
      </c>
      <c r="E460" s="24" t="str">
        <f aca="false">IF($B460="","",IFERROR(INDEX('Liste des ingrédients'!$H$5:$H$98,MATCH($B460,'Liste des ingrédients'!$B$5:$B$98,0)),0))</f>
        <v/>
      </c>
      <c r="F460" s="22" t="str">
        <f aca="false">IF($B460="","",IFERROR(INDEX('Liste des ingrédients'!$G$5:$G$98,MATCH($B460,'Liste des ingrédients'!$B$5:$B$98,0)),"?"))</f>
        <v/>
      </c>
      <c r="G460" s="24" t="n">
        <f aca="false">IF(OR($B460="",$C460=""),0,IFERROR($C460*E460/IF(OR(F460="kg",F460="L"),1000,1),0))</f>
        <v>0</v>
      </c>
      <c r="H460" s="22" t="str">
        <f aca="false">IF(AND($A460&lt;&gt;"",$A460='Fiche plat'!$C$3),COUNTIF($A$5:$A460,'Fiche plat'!$C$3),"")</f>
        <v/>
      </c>
      <c r="I460" s="0" t="str">
        <f aca="false">IF($A460="","",IFERROR(INDEX(Plats!$D$5:$D$48,MATCH($A460,Plats!$I$5:$I$48,0)),""))</f>
        <v/>
      </c>
    </row>
    <row r="461" customFormat="false" ht="15" hidden="false" customHeight="false" outlineLevel="0" collapsed="false">
      <c r="A461" s="36"/>
      <c r="B461" s="22"/>
      <c r="C461" s="35"/>
      <c r="D461" s="22" t="str">
        <f aca="false">IF($B461="","",IF(F461="kg","g",IF(F461="L","ml",F461)))</f>
        <v/>
      </c>
      <c r="E461" s="24" t="str">
        <f aca="false">IF($B461="","",IFERROR(INDEX('Liste des ingrédients'!$H$5:$H$98,MATCH($B461,'Liste des ingrédients'!$B$5:$B$98,0)),0))</f>
        <v/>
      </c>
      <c r="F461" s="22" t="str">
        <f aca="false">IF($B461="","",IFERROR(INDEX('Liste des ingrédients'!$G$5:$G$98,MATCH($B461,'Liste des ingrédients'!$B$5:$B$98,0)),"?"))</f>
        <v/>
      </c>
      <c r="G461" s="24" t="n">
        <f aca="false">IF(OR($B461="",$C461=""),0,IFERROR($C461*E461/IF(OR(F461="kg",F461="L"),1000,1),0))</f>
        <v>0</v>
      </c>
      <c r="H461" s="22" t="str">
        <f aca="false">IF(AND($A461&lt;&gt;"",$A461='Fiche plat'!$C$3),COUNTIF($A$5:$A461,'Fiche plat'!$C$3),"")</f>
        <v/>
      </c>
      <c r="I461" s="0" t="str">
        <f aca="false">IF($A461="","",IFERROR(INDEX(Plats!$D$5:$D$48,MATCH($A461,Plats!$I$5:$I$48,0)),""))</f>
        <v/>
      </c>
    </row>
    <row r="462" customFormat="false" ht="15" hidden="false" customHeight="false" outlineLevel="0" collapsed="false">
      <c r="A462" s="36"/>
      <c r="B462" s="22"/>
      <c r="C462" s="35"/>
      <c r="D462" s="22" t="str">
        <f aca="false">IF($B462="","",IF(F462="kg","g",IF(F462="L","ml",F462)))</f>
        <v/>
      </c>
      <c r="E462" s="24" t="str">
        <f aca="false">IF($B462="","",IFERROR(INDEX('Liste des ingrédients'!$H$5:$H$98,MATCH($B462,'Liste des ingrédients'!$B$5:$B$98,0)),0))</f>
        <v/>
      </c>
      <c r="F462" s="22" t="str">
        <f aca="false">IF($B462="","",IFERROR(INDEX('Liste des ingrédients'!$G$5:$G$98,MATCH($B462,'Liste des ingrédients'!$B$5:$B$98,0)),"?"))</f>
        <v/>
      </c>
      <c r="G462" s="24" t="n">
        <f aca="false">IF(OR($B462="",$C462=""),0,IFERROR($C462*E462/IF(OR(F462="kg",F462="L"),1000,1),0))</f>
        <v>0</v>
      </c>
      <c r="H462" s="22" t="str">
        <f aca="false">IF(AND($A462&lt;&gt;"",$A462='Fiche plat'!$C$3),COUNTIF($A$5:$A462,'Fiche plat'!$C$3),"")</f>
        <v/>
      </c>
      <c r="I462" s="0" t="str">
        <f aca="false">IF($A462="","",IFERROR(INDEX(Plats!$D$5:$D$48,MATCH($A462,Plats!$I$5:$I$48,0)),""))</f>
        <v/>
      </c>
    </row>
    <row r="463" customFormat="false" ht="15" hidden="false" customHeight="false" outlineLevel="0" collapsed="false">
      <c r="A463" s="36"/>
      <c r="B463" s="22"/>
      <c r="C463" s="35"/>
      <c r="D463" s="22" t="str">
        <f aca="false">IF($B463="","",IF(F463="kg","g",IF(F463="L","ml",F463)))</f>
        <v/>
      </c>
      <c r="E463" s="24" t="str">
        <f aca="false">IF($B463="","",IFERROR(INDEX('Liste des ingrédients'!$H$5:$H$98,MATCH($B463,'Liste des ingrédients'!$B$5:$B$98,0)),0))</f>
        <v/>
      </c>
      <c r="F463" s="22" t="str">
        <f aca="false">IF($B463="","",IFERROR(INDEX('Liste des ingrédients'!$G$5:$G$98,MATCH($B463,'Liste des ingrédients'!$B$5:$B$98,0)),"?"))</f>
        <v/>
      </c>
      <c r="G463" s="24" t="n">
        <f aca="false">IF(OR($B463="",$C463=""),0,IFERROR($C463*E463/IF(OR(F463="kg",F463="L"),1000,1),0))</f>
        <v>0</v>
      </c>
      <c r="H463" s="22" t="str">
        <f aca="false">IF(AND($A463&lt;&gt;"",$A463='Fiche plat'!$C$3),COUNTIF($A$5:$A463,'Fiche plat'!$C$3),"")</f>
        <v/>
      </c>
      <c r="I463" s="0" t="str">
        <f aca="false">IF($A463="","",IFERROR(INDEX(Plats!$D$5:$D$48,MATCH($A463,Plats!$I$5:$I$48,0)),""))</f>
        <v/>
      </c>
    </row>
    <row r="464" customFormat="false" ht="15" hidden="false" customHeight="false" outlineLevel="0" collapsed="false">
      <c r="A464" s="36"/>
      <c r="B464" s="22"/>
      <c r="C464" s="35"/>
      <c r="D464" s="22" t="str">
        <f aca="false">IF($B464="","",IF(F464="kg","g",IF(F464="L","ml",F464)))</f>
        <v/>
      </c>
      <c r="E464" s="24" t="str">
        <f aca="false">IF($B464="","",IFERROR(INDEX('Liste des ingrédients'!$H$5:$H$98,MATCH($B464,'Liste des ingrédients'!$B$5:$B$98,0)),0))</f>
        <v/>
      </c>
      <c r="F464" s="22" t="str">
        <f aca="false">IF($B464="","",IFERROR(INDEX('Liste des ingrédients'!$G$5:$G$98,MATCH($B464,'Liste des ingrédients'!$B$5:$B$98,0)),"?"))</f>
        <v/>
      </c>
      <c r="G464" s="24" t="n">
        <f aca="false">IF(OR($B464="",$C464=""),0,IFERROR($C464*E464/IF(OR(F464="kg",F464="L"),1000,1),0))</f>
        <v>0</v>
      </c>
      <c r="H464" s="22" t="str">
        <f aca="false">IF(AND($A464&lt;&gt;"",$A464='Fiche plat'!$C$3),COUNTIF($A$5:$A464,'Fiche plat'!$C$3),"")</f>
        <v/>
      </c>
      <c r="I464" s="0" t="str">
        <f aca="false">IF($A464="","",IFERROR(INDEX(Plats!$D$5:$D$48,MATCH($A464,Plats!$I$5:$I$48,0)),""))</f>
        <v/>
      </c>
    </row>
    <row r="465" customFormat="false" ht="15" hidden="false" customHeight="false" outlineLevel="0" collapsed="false">
      <c r="A465" s="36"/>
      <c r="B465" s="22"/>
      <c r="C465" s="35"/>
      <c r="D465" s="22" t="str">
        <f aca="false">IF($B465="","",IF(F465="kg","g",IF(F465="L","ml",F465)))</f>
        <v/>
      </c>
      <c r="E465" s="24" t="str">
        <f aca="false">IF($B465="","",IFERROR(INDEX('Liste des ingrédients'!$H$5:$H$98,MATCH($B465,'Liste des ingrédients'!$B$5:$B$98,0)),0))</f>
        <v/>
      </c>
      <c r="F465" s="22" t="str">
        <f aca="false">IF($B465="","",IFERROR(INDEX('Liste des ingrédients'!$G$5:$G$98,MATCH($B465,'Liste des ingrédients'!$B$5:$B$98,0)),"?"))</f>
        <v/>
      </c>
      <c r="G465" s="24" t="n">
        <f aca="false">IF(OR($B465="",$C465=""),0,IFERROR($C465*E465/IF(OR(F465="kg",F465="L"),1000,1),0))</f>
        <v>0</v>
      </c>
      <c r="H465" s="22" t="str">
        <f aca="false">IF(AND($A465&lt;&gt;"",$A465='Fiche plat'!$C$3),COUNTIF($A$5:$A465,'Fiche plat'!$C$3),"")</f>
        <v/>
      </c>
      <c r="I465" s="0" t="str">
        <f aca="false">IF($A465="","",IFERROR(INDEX(Plats!$D$5:$D$48,MATCH($A465,Plats!$I$5:$I$48,0)),""))</f>
        <v/>
      </c>
    </row>
    <row r="466" customFormat="false" ht="15" hidden="false" customHeight="false" outlineLevel="0" collapsed="false">
      <c r="A466" s="36"/>
      <c r="B466" s="22"/>
      <c r="C466" s="35"/>
      <c r="D466" s="22" t="str">
        <f aca="false">IF($B466="","",IF(F466="kg","g",IF(F466="L","ml",F466)))</f>
        <v/>
      </c>
      <c r="E466" s="24" t="str">
        <f aca="false">IF($B466="","",IFERROR(INDEX('Liste des ingrédients'!$H$5:$H$98,MATCH($B466,'Liste des ingrédients'!$B$5:$B$98,0)),0))</f>
        <v/>
      </c>
      <c r="F466" s="22" t="str">
        <f aca="false">IF($B466="","",IFERROR(INDEX('Liste des ingrédients'!$G$5:$G$98,MATCH($B466,'Liste des ingrédients'!$B$5:$B$98,0)),"?"))</f>
        <v/>
      </c>
      <c r="G466" s="24" t="n">
        <f aca="false">IF(OR($B466="",$C466=""),0,IFERROR($C466*E466/IF(OR(F466="kg",F466="L"),1000,1),0))</f>
        <v>0</v>
      </c>
      <c r="H466" s="22" t="str">
        <f aca="false">IF(AND($A466&lt;&gt;"",$A466='Fiche plat'!$C$3),COUNTIF($A$5:$A466,'Fiche plat'!$C$3),"")</f>
        <v/>
      </c>
      <c r="I466" s="0" t="str">
        <f aca="false">IF($A466="","",IFERROR(INDEX(Plats!$D$5:$D$48,MATCH($A466,Plats!$I$5:$I$48,0)),""))</f>
        <v/>
      </c>
    </row>
    <row r="467" customFormat="false" ht="15" hidden="false" customHeight="false" outlineLevel="0" collapsed="false">
      <c r="A467" s="36"/>
      <c r="B467" s="22"/>
      <c r="C467" s="35"/>
      <c r="D467" s="22" t="str">
        <f aca="false">IF($B467="","",IF(F467="kg","g",IF(F467="L","ml",F467)))</f>
        <v/>
      </c>
      <c r="E467" s="24" t="str">
        <f aca="false">IF($B467="","",IFERROR(INDEX('Liste des ingrédients'!$H$5:$H$98,MATCH($B467,'Liste des ingrédients'!$B$5:$B$98,0)),0))</f>
        <v/>
      </c>
      <c r="F467" s="22" t="str">
        <f aca="false">IF($B467="","",IFERROR(INDEX('Liste des ingrédients'!$G$5:$G$98,MATCH($B467,'Liste des ingrédients'!$B$5:$B$98,0)),"?"))</f>
        <v/>
      </c>
      <c r="G467" s="24" t="n">
        <f aca="false">IF(OR($B467="",$C467=""),0,IFERROR($C467*E467/IF(OR(F467="kg",F467="L"),1000,1),0))</f>
        <v>0</v>
      </c>
      <c r="H467" s="22" t="str">
        <f aca="false">IF(AND($A467&lt;&gt;"",$A467='Fiche plat'!$C$3),COUNTIF($A$5:$A467,'Fiche plat'!$C$3),"")</f>
        <v/>
      </c>
      <c r="I467" s="0" t="str">
        <f aca="false">IF($A467="","",IFERROR(INDEX(Plats!$D$5:$D$48,MATCH($A467,Plats!$I$5:$I$48,0)),""))</f>
        <v/>
      </c>
    </row>
    <row r="468" customFormat="false" ht="15" hidden="false" customHeight="false" outlineLevel="0" collapsed="false">
      <c r="A468" s="36"/>
      <c r="B468" s="22"/>
      <c r="C468" s="35"/>
      <c r="D468" s="22" t="str">
        <f aca="false">IF($B468="","",IF(F468="kg","g",IF(F468="L","ml",F468)))</f>
        <v/>
      </c>
      <c r="E468" s="24" t="str">
        <f aca="false">IF($B468="","",IFERROR(INDEX('Liste des ingrédients'!$H$5:$H$98,MATCH($B468,'Liste des ingrédients'!$B$5:$B$98,0)),0))</f>
        <v/>
      </c>
      <c r="F468" s="22" t="str">
        <f aca="false">IF($B468="","",IFERROR(INDEX('Liste des ingrédients'!$G$5:$G$98,MATCH($B468,'Liste des ingrédients'!$B$5:$B$98,0)),"?"))</f>
        <v/>
      </c>
      <c r="G468" s="24" t="n">
        <f aca="false">IF(OR($B468="",$C468=""),0,IFERROR($C468*E468/IF(OR(F468="kg",F468="L"),1000,1),0))</f>
        <v>0</v>
      </c>
      <c r="H468" s="22" t="str">
        <f aca="false">IF(AND($A468&lt;&gt;"",$A468='Fiche plat'!$C$3),COUNTIF($A$5:$A468,'Fiche plat'!$C$3),"")</f>
        <v/>
      </c>
      <c r="I468" s="0" t="str">
        <f aca="false">IF($A468="","",IFERROR(INDEX(Plats!$D$5:$D$48,MATCH($A468,Plats!$I$5:$I$48,0)),""))</f>
        <v/>
      </c>
    </row>
    <row r="469" customFormat="false" ht="15" hidden="false" customHeight="false" outlineLevel="0" collapsed="false">
      <c r="A469" s="36"/>
      <c r="B469" s="22"/>
      <c r="C469" s="35"/>
      <c r="D469" s="22" t="str">
        <f aca="false">IF($B469="","",IF(F469="kg","g",IF(F469="L","ml",F469)))</f>
        <v/>
      </c>
      <c r="E469" s="24" t="str">
        <f aca="false">IF($B469="","",IFERROR(INDEX('Liste des ingrédients'!$H$5:$H$98,MATCH($B469,'Liste des ingrédients'!$B$5:$B$98,0)),0))</f>
        <v/>
      </c>
      <c r="F469" s="22" t="str">
        <f aca="false">IF($B469="","",IFERROR(INDEX('Liste des ingrédients'!$G$5:$G$98,MATCH($B469,'Liste des ingrédients'!$B$5:$B$98,0)),"?"))</f>
        <v/>
      </c>
      <c r="G469" s="24" t="n">
        <f aca="false">IF(OR($B469="",$C469=""),0,IFERROR($C469*E469/IF(OR(F469="kg",F469="L"),1000,1),0))</f>
        <v>0</v>
      </c>
      <c r="H469" s="22" t="str">
        <f aca="false">IF(AND($A469&lt;&gt;"",$A469='Fiche plat'!$C$3),COUNTIF($A$5:$A469,'Fiche plat'!$C$3),"")</f>
        <v/>
      </c>
      <c r="I469" s="0" t="str">
        <f aca="false">IF($A469="","",IFERROR(INDEX(Plats!$D$5:$D$48,MATCH($A469,Plats!$I$5:$I$48,0)),""))</f>
        <v/>
      </c>
    </row>
    <row r="470" customFormat="false" ht="15" hidden="false" customHeight="false" outlineLevel="0" collapsed="false">
      <c r="A470" s="36"/>
      <c r="B470" s="22"/>
      <c r="C470" s="35"/>
      <c r="D470" s="22" t="str">
        <f aca="false">IF($B470="","",IF(F470="kg","g",IF(F470="L","ml",F470)))</f>
        <v/>
      </c>
      <c r="E470" s="24" t="str">
        <f aca="false">IF($B470="","",IFERROR(INDEX('Liste des ingrédients'!$H$5:$H$98,MATCH($B470,'Liste des ingrédients'!$B$5:$B$98,0)),0))</f>
        <v/>
      </c>
      <c r="F470" s="22" t="str">
        <f aca="false">IF($B470="","",IFERROR(INDEX('Liste des ingrédients'!$G$5:$G$98,MATCH($B470,'Liste des ingrédients'!$B$5:$B$98,0)),"?"))</f>
        <v/>
      </c>
      <c r="G470" s="24" t="n">
        <f aca="false">IF(OR($B470="",$C470=""),0,IFERROR($C470*E470/IF(OR(F470="kg",F470="L"),1000,1),0))</f>
        <v>0</v>
      </c>
      <c r="H470" s="22" t="str">
        <f aca="false">IF(AND($A470&lt;&gt;"",$A470='Fiche plat'!$C$3),COUNTIF($A$5:$A470,'Fiche plat'!$C$3),"")</f>
        <v/>
      </c>
      <c r="I470" s="0" t="str">
        <f aca="false">IF($A470="","",IFERROR(INDEX(Plats!$D$5:$D$48,MATCH($A470,Plats!$I$5:$I$48,0)),""))</f>
        <v/>
      </c>
    </row>
    <row r="471" customFormat="false" ht="15" hidden="false" customHeight="false" outlineLevel="0" collapsed="false">
      <c r="A471" s="36"/>
      <c r="B471" s="22"/>
      <c r="C471" s="35"/>
      <c r="D471" s="22" t="str">
        <f aca="false">IF($B471="","",IF(F471="kg","g",IF(F471="L","ml",F471)))</f>
        <v/>
      </c>
      <c r="E471" s="24" t="str">
        <f aca="false">IF($B471="","",IFERROR(INDEX('Liste des ingrédients'!$H$5:$H$98,MATCH($B471,'Liste des ingrédients'!$B$5:$B$98,0)),0))</f>
        <v/>
      </c>
      <c r="F471" s="22" t="str">
        <f aca="false">IF($B471="","",IFERROR(INDEX('Liste des ingrédients'!$G$5:$G$98,MATCH($B471,'Liste des ingrédients'!$B$5:$B$98,0)),"?"))</f>
        <v/>
      </c>
      <c r="G471" s="24" t="n">
        <f aca="false">IF(OR($B471="",$C471=""),0,IFERROR($C471*E471/IF(OR(F471="kg",F471="L"),1000,1),0))</f>
        <v>0</v>
      </c>
      <c r="H471" s="22" t="str">
        <f aca="false">IF(AND($A471&lt;&gt;"",$A471='Fiche plat'!$C$3),COUNTIF($A$5:$A471,'Fiche plat'!$C$3),"")</f>
        <v/>
      </c>
      <c r="I471" s="0" t="str">
        <f aca="false">IF($A471="","",IFERROR(INDEX(Plats!$D$5:$D$48,MATCH($A471,Plats!$I$5:$I$48,0)),""))</f>
        <v/>
      </c>
    </row>
    <row r="472" customFormat="false" ht="15" hidden="false" customHeight="false" outlineLevel="0" collapsed="false">
      <c r="A472" s="36"/>
      <c r="B472" s="22"/>
      <c r="C472" s="35"/>
      <c r="D472" s="22" t="str">
        <f aca="false">IF($B472="","",IF(F472="kg","g",IF(F472="L","ml",F472)))</f>
        <v/>
      </c>
      <c r="E472" s="24" t="str">
        <f aca="false">IF($B472="","",IFERROR(INDEX('Liste des ingrédients'!$H$5:$H$98,MATCH($B472,'Liste des ingrédients'!$B$5:$B$98,0)),0))</f>
        <v/>
      </c>
      <c r="F472" s="22" t="str">
        <f aca="false">IF($B472="","",IFERROR(INDEX('Liste des ingrédients'!$G$5:$G$98,MATCH($B472,'Liste des ingrédients'!$B$5:$B$98,0)),"?"))</f>
        <v/>
      </c>
      <c r="G472" s="24" t="n">
        <f aca="false">IF(OR($B472="",$C472=""),0,IFERROR($C472*E472/IF(OR(F472="kg",F472="L"),1000,1),0))</f>
        <v>0</v>
      </c>
      <c r="H472" s="22" t="str">
        <f aca="false">IF(AND($A472&lt;&gt;"",$A472='Fiche plat'!$C$3),COUNTIF($A$5:$A472,'Fiche plat'!$C$3),"")</f>
        <v/>
      </c>
      <c r="I472" s="0" t="str">
        <f aca="false">IF($A472="","",IFERROR(INDEX(Plats!$D$5:$D$48,MATCH($A472,Plats!$I$5:$I$48,0)),""))</f>
        <v/>
      </c>
    </row>
    <row r="473" customFormat="false" ht="15" hidden="false" customHeight="false" outlineLevel="0" collapsed="false">
      <c r="A473" s="36"/>
      <c r="B473" s="22"/>
      <c r="C473" s="35"/>
      <c r="D473" s="22" t="str">
        <f aca="false">IF($B473="","",IF(F473="kg","g",IF(F473="L","ml",F473)))</f>
        <v/>
      </c>
      <c r="E473" s="24" t="str">
        <f aca="false">IF($B473="","",IFERROR(INDEX('Liste des ingrédients'!$H$5:$H$98,MATCH($B473,'Liste des ingrédients'!$B$5:$B$98,0)),0))</f>
        <v/>
      </c>
      <c r="F473" s="22" t="str">
        <f aca="false">IF($B473="","",IFERROR(INDEX('Liste des ingrédients'!$G$5:$G$98,MATCH($B473,'Liste des ingrédients'!$B$5:$B$98,0)),"?"))</f>
        <v/>
      </c>
      <c r="G473" s="24" t="n">
        <f aca="false">IF(OR($B473="",$C473=""),0,IFERROR($C473*E473/IF(OR(F473="kg",F473="L"),1000,1),0))</f>
        <v>0</v>
      </c>
      <c r="H473" s="22" t="str">
        <f aca="false">IF(AND($A473&lt;&gt;"",$A473='Fiche plat'!$C$3),COUNTIF($A$5:$A473,'Fiche plat'!$C$3),"")</f>
        <v/>
      </c>
      <c r="I473" s="0" t="str">
        <f aca="false">IF($A473="","",IFERROR(INDEX(Plats!$D$5:$D$48,MATCH($A473,Plats!$I$5:$I$48,0)),""))</f>
        <v/>
      </c>
    </row>
    <row r="474" customFormat="false" ht="15" hidden="false" customHeight="false" outlineLevel="0" collapsed="false">
      <c r="A474" s="36"/>
      <c r="B474" s="22"/>
      <c r="C474" s="35"/>
      <c r="D474" s="22" t="str">
        <f aca="false">IF($B474="","",IF(F474="kg","g",IF(F474="L","ml",F474)))</f>
        <v/>
      </c>
      <c r="E474" s="24" t="str">
        <f aca="false">IF($B474="","",IFERROR(INDEX('Liste des ingrédients'!$H$5:$H$98,MATCH($B474,'Liste des ingrédients'!$B$5:$B$98,0)),0))</f>
        <v/>
      </c>
      <c r="F474" s="22" t="str">
        <f aca="false">IF($B474="","",IFERROR(INDEX('Liste des ingrédients'!$G$5:$G$98,MATCH($B474,'Liste des ingrédients'!$B$5:$B$98,0)),"?"))</f>
        <v/>
      </c>
      <c r="G474" s="24" t="n">
        <f aca="false">IF(OR($B474="",$C474=""),0,IFERROR($C474*E474/IF(OR(F474="kg",F474="L"),1000,1),0))</f>
        <v>0</v>
      </c>
      <c r="H474" s="22" t="str">
        <f aca="false">IF(AND($A474&lt;&gt;"",$A474='Fiche plat'!$C$3),COUNTIF($A$5:$A474,'Fiche plat'!$C$3),"")</f>
        <v/>
      </c>
      <c r="I474" s="0" t="str">
        <f aca="false">IF($A474="","",IFERROR(INDEX(Plats!$D$5:$D$48,MATCH($A474,Plats!$I$5:$I$48,0)),""))</f>
        <v/>
      </c>
    </row>
    <row r="475" customFormat="false" ht="15" hidden="false" customHeight="false" outlineLevel="0" collapsed="false">
      <c r="A475" s="36"/>
      <c r="B475" s="22"/>
      <c r="C475" s="35"/>
      <c r="D475" s="22" t="str">
        <f aca="false">IF($B475="","",IF(F475="kg","g",IF(F475="L","ml",F475)))</f>
        <v/>
      </c>
      <c r="E475" s="24" t="str">
        <f aca="false">IF($B475="","",IFERROR(INDEX('Liste des ingrédients'!$H$5:$H$98,MATCH($B475,'Liste des ingrédients'!$B$5:$B$98,0)),0))</f>
        <v/>
      </c>
      <c r="F475" s="22" t="str">
        <f aca="false">IF($B475="","",IFERROR(INDEX('Liste des ingrédients'!$G$5:$G$98,MATCH($B475,'Liste des ingrédients'!$B$5:$B$98,0)),"?"))</f>
        <v/>
      </c>
      <c r="G475" s="24" t="n">
        <f aca="false">IF(OR($B475="",$C475=""),0,IFERROR($C475*E475/IF(OR(F475="kg",F475="L"),1000,1),0))</f>
        <v>0</v>
      </c>
      <c r="H475" s="22" t="str">
        <f aca="false">IF(AND($A475&lt;&gt;"",$A475='Fiche plat'!$C$3),COUNTIF($A$5:$A475,'Fiche plat'!$C$3),"")</f>
        <v/>
      </c>
      <c r="I475" s="0" t="str">
        <f aca="false">IF($A475="","",IFERROR(INDEX(Plats!$D$5:$D$48,MATCH($A475,Plats!$I$5:$I$48,0)),""))</f>
        <v/>
      </c>
    </row>
    <row r="476" customFormat="false" ht="15" hidden="false" customHeight="false" outlineLevel="0" collapsed="false">
      <c r="A476" s="36"/>
      <c r="B476" s="22"/>
      <c r="C476" s="35"/>
      <c r="D476" s="22" t="str">
        <f aca="false">IF($B476="","",IF(F476="kg","g",IF(F476="L","ml",F476)))</f>
        <v/>
      </c>
      <c r="E476" s="24" t="str">
        <f aca="false">IF($B476="","",IFERROR(INDEX('Liste des ingrédients'!$H$5:$H$98,MATCH($B476,'Liste des ingrédients'!$B$5:$B$98,0)),0))</f>
        <v/>
      </c>
      <c r="F476" s="22" t="str">
        <f aca="false">IF($B476="","",IFERROR(INDEX('Liste des ingrédients'!$G$5:$G$98,MATCH($B476,'Liste des ingrédients'!$B$5:$B$98,0)),"?"))</f>
        <v/>
      </c>
      <c r="G476" s="24" t="n">
        <f aca="false">IF(OR($B476="",$C476=""),0,IFERROR($C476*E476/IF(OR(F476="kg",F476="L"),1000,1),0))</f>
        <v>0</v>
      </c>
      <c r="H476" s="22" t="str">
        <f aca="false">IF(AND($A476&lt;&gt;"",$A476='Fiche plat'!$C$3),COUNTIF($A$5:$A476,'Fiche plat'!$C$3),"")</f>
        <v/>
      </c>
      <c r="I476" s="0" t="str">
        <f aca="false">IF($A476="","",IFERROR(INDEX(Plats!$D$5:$D$48,MATCH($A476,Plats!$I$5:$I$48,0)),""))</f>
        <v/>
      </c>
    </row>
    <row r="477" customFormat="false" ht="15" hidden="false" customHeight="false" outlineLevel="0" collapsed="false">
      <c r="A477" s="36"/>
      <c r="B477" s="22"/>
      <c r="C477" s="35"/>
      <c r="D477" s="22" t="str">
        <f aca="false">IF($B477="","",IF(F477="kg","g",IF(F477="L","ml",F477)))</f>
        <v/>
      </c>
      <c r="E477" s="24" t="str">
        <f aca="false">IF($B477="","",IFERROR(INDEX('Liste des ingrédients'!$H$5:$H$98,MATCH($B477,'Liste des ingrédients'!$B$5:$B$98,0)),0))</f>
        <v/>
      </c>
      <c r="F477" s="22" t="str">
        <f aca="false">IF($B477="","",IFERROR(INDEX('Liste des ingrédients'!$G$5:$G$98,MATCH($B477,'Liste des ingrédients'!$B$5:$B$98,0)),"?"))</f>
        <v/>
      </c>
      <c r="G477" s="24" t="n">
        <f aca="false">IF(OR($B477="",$C477=""),0,IFERROR($C477*E477/IF(OR(F477="kg",F477="L"),1000,1),0))</f>
        <v>0</v>
      </c>
      <c r="H477" s="22" t="str">
        <f aca="false">IF(AND($A477&lt;&gt;"",$A477='Fiche plat'!$C$3),COUNTIF($A$5:$A477,'Fiche plat'!$C$3),"")</f>
        <v/>
      </c>
      <c r="I477" s="0" t="str">
        <f aca="false">IF($A477="","",IFERROR(INDEX(Plats!$D$5:$D$48,MATCH($A477,Plats!$I$5:$I$48,0)),""))</f>
        <v/>
      </c>
    </row>
    <row r="478" customFormat="false" ht="15" hidden="false" customHeight="false" outlineLevel="0" collapsed="false">
      <c r="A478" s="36"/>
      <c r="B478" s="22"/>
      <c r="C478" s="35"/>
      <c r="D478" s="22" t="str">
        <f aca="false">IF($B478="","",IF(F478="kg","g",IF(F478="L","ml",F478)))</f>
        <v/>
      </c>
      <c r="E478" s="24" t="str">
        <f aca="false">IF($B478="","",IFERROR(INDEX('Liste des ingrédients'!$H$5:$H$98,MATCH($B478,'Liste des ingrédients'!$B$5:$B$98,0)),0))</f>
        <v/>
      </c>
      <c r="F478" s="22" t="str">
        <f aca="false">IF($B478="","",IFERROR(INDEX('Liste des ingrédients'!$G$5:$G$98,MATCH($B478,'Liste des ingrédients'!$B$5:$B$98,0)),"?"))</f>
        <v/>
      </c>
      <c r="G478" s="24" t="n">
        <f aca="false">IF(OR($B478="",$C478=""),0,IFERROR($C478*E478/IF(OR(F478="kg",F478="L"),1000,1),0))</f>
        <v>0</v>
      </c>
      <c r="H478" s="22" t="str">
        <f aca="false">IF(AND($A478&lt;&gt;"",$A478='Fiche plat'!$C$3),COUNTIF($A$5:$A478,'Fiche plat'!$C$3),"")</f>
        <v/>
      </c>
      <c r="I478" s="0" t="str">
        <f aca="false">IF($A478="","",IFERROR(INDEX(Plats!$D$5:$D$48,MATCH($A478,Plats!$I$5:$I$48,0)),""))</f>
        <v/>
      </c>
    </row>
    <row r="479" customFormat="false" ht="15" hidden="false" customHeight="false" outlineLevel="0" collapsed="false">
      <c r="A479" s="36"/>
      <c r="B479" s="22"/>
      <c r="C479" s="35"/>
      <c r="D479" s="22" t="str">
        <f aca="false">IF($B479="","",IF(F479="kg","g",IF(F479="L","ml",F479)))</f>
        <v/>
      </c>
      <c r="E479" s="24" t="str">
        <f aca="false">IF($B479="","",IFERROR(INDEX('Liste des ingrédients'!$H$5:$H$98,MATCH($B479,'Liste des ingrédients'!$B$5:$B$98,0)),0))</f>
        <v/>
      </c>
      <c r="F479" s="22" t="str">
        <f aca="false">IF($B479="","",IFERROR(INDEX('Liste des ingrédients'!$G$5:$G$98,MATCH($B479,'Liste des ingrédients'!$B$5:$B$98,0)),"?"))</f>
        <v/>
      </c>
      <c r="G479" s="24" t="n">
        <f aca="false">IF(OR($B479="",$C479=""),0,IFERROR($C479*E479/IF(OR(F479="kg",F479="L"),1000,1),0))</f>
        <v>0</v>
      </c>
      <c r="H479" s="22" t="str">
        <f aca="false">IF(AND($A479&lt;&gt;"",$A479='Fiche plat'!$C$3),COUNTIF($A$5:$A479,'Fiche plat'!$C$3),"")</f>
        <v/>
      </c>
      <c r="I479" s="0" t="str">
        <f aca="false">IF($A479="","",IFERROR(INDEX(Plats!$D$5:$D$48,MATCH($A479,Plats!$I$5:$I$48,0)),""))</f>
        <v/>
      </c>
    </row>
    <row r="480" customFormat="false" ht="15" hidden="false" customHeight="false" outlineLevel="0" collapsed="false">
      <c r="A480" s="36"/>
      <c r="B480" s="22"/>
      <c r="C480" s="35"/>
      <c r="D480" s="22" t="str">
        <f aca="false">IF($B480="","",IF(F480="kg","g",IF(F480="L","ml",F480)))</f>
        <v/>
      </c>
      <c r="E480" s="24" t="str">
        <f aca="false">IF($B480="","",IFERROR(INDEX('Liste des ingrédients'!$H$5:$H$98,MATCH($B480,'Liste des ingrédients'!$B$5:$B$98,0)),0))</f>
        <v/>
      </c>
      <c r="F480" s="22" t="str">
        <f aca="false">IF($B480="","",IFERROR(INDEX('Liste des ingrédients'!$G$5:$G$98,MATCH($B480,'Liste des ingrédients'!$B$5:$B$98,0)),"?"))</f>
        <v/>
      </c>
      <c r="G480" s="24" t="n">
        <f aca="false">IF(OR($B480="",$C480=""),0,IFERROR($C480*E480/IF(OR(F480="kg",F480="L"),1000,1),0))</f>
        <v>0</v>
      </c>
      <c r="H480" s="22" t="str">
        <f aca="false">IF(AND($A480&lt;&gt;"",$A480='Fiche plat'!$C$3),COUNTIF($A$5:$A480,'Fiche plat'!$C$3),"")</f>
        <v/>
      </c>
      <c r="I480" s="0" t="str">
        <f aca="false">IF($A480="","",IFERROR(INDEX(Plats!$D$5:$D$48,MATCH($A480,Plats!$I$5:$I$48,0)),""))</f>
        <v/>
      </c>
    </row>
    <row r="481" customFormat="false" ht="15" hidden="false" customHeight="false" outlineLevel="0" collapsed="false">
      <c r="A481" s="36"/>
      <c r="B481" s="22"/>
      <c r="C481" s="35"/>
      <c r="D481" s="22" t="str">
        <f aca="false">IF($B481="","",IF(F481="kg","g",IF(F481="L","ml",F481)))</f>
        <v/>
      </c>
      <c r="E481" s="24" t="str">
        <f aca="false">IF($B481="","",IFERROR(INDEX('Liste des ingrédients'!$H$5:$H$98,MATCH($B481,'Liste des ingrédients'!$B$5:$B$98,0)),0))</f>
        <v/>
      </c>
      <c r="F481" s="22" t="str">
        <f aca="false">IF($B481="","",IFERROR(INDEX('Liste des ingrédients'!$G$5:$G$98,MATCH($B481,'Liste des ingrédients'!$B$5:$B$98,0)),"?"))</f>
        <v/>
      </c>
      <c r="G481" s="24" t="n">
        <f aca="false">IF(OR($B481="",$C481=""),0,IFERROR($C481*E481/IF(OR(F481="kg",F481="L"),1000,1),0))</f>
        <v>0</v>
      </c>
      <c r="H481" s="22" t="str">
        <f aca="false">IF(AND($A481&lt;&gt;"",$A481='Fiche plat'!$C$3),COUNTIF($A$5:$A481,'Fiche plat'!$C$3),"")</f>
        <v/>
      </c>
      <c r="I481" s="0" t="str">
        <f aca="false">IF($A481="","",IFERROR(INDEX(Plats!$D$5:$D$48,MATCH($A481,Plats!$I$5:$I$48,0)),""))</f>
        <v/>
      </c>
    </row>
    <row r="482" customFormat="false" ht="15" hidden="false" customHeight="false" outlineLevel="0" collapsed="false">
      <c r="A482" s="36"/>
      <c r="B482" s="22"/>
      <c r="C482" s="35"/>
      <c r="D482" s="22" t="str">
        <f aca="false">IF($B482="","",IF(F482="kg","g",IF(F482="L","ml",F482)))</f>
        <v/>
      </c>
      <c r="E482" s="24" t="str">
        <f aca="false">IF($B482="","",IFERROR(INDEX('Liste des ingrédients'!$H$5:$H$98,MATCH($B482,'Liste des ingrédients'!$B$5:$B$98,0)),0))</f>
        <v/>
      </c>
      <c r="F482" s="22" t="str">
        <f aca="false">IF($B482="","",IFERROR(INDEX('Liste des ingrédients'!$G$5:$G$98,MATCH($B482,'Liste des ingrédients'!$B$5:$B$98,0)),"?"))</f>
        <v/>
      </c>
      <c r="G482" s="24" t="n">
        <f aca="false">IF(OR($B482="",$C482=""),0,IFERROR($C482*E482/IF(OR(F482="kg",F482="L"),1000,1),0))</f>
        <v>0</v>
      </c>
      <c r="H482" s="22" t="str">
        <f aca="false">IF(AND($A482&lt;&gt;"",$A482='Fiche plat'!$C$3),COUNTIF($A$5:$A482,'Fiche plat'!$C$3),"")</f>
        <v/>
      </c>
      <c r="I482" s="0" t="str">
        <f aca="false">IF($A482="","",IFERROR(INDEX(Plats!$D$5:$D$48,MATCH($A482,Plats!$I$5:$I$48,0)),""))</f>
        <v/>
      </c>
    </row>
    <row r="483" customFormat="false" ht="15" hidden="false" customHeight="false" outlineLevel="0" collapsed="false">
      <c r="A483" s="36"/>
      <c r="B483" s="22"/>
      <c r="C483" s="35"/>
      <c r="D483" s="22" t="str">
        <f aca="false">IF($B483="","",IF(F483="kg","g",IF(F483="L","ml",F483)))</f>
        <v/>
      </c>
      <c r="E483" s="24" t="str">
        <f aca="false">IF($B483="","",IFERROR(INDEX('Liste des ingrédients'!$H$5:$H$98,MATCH($B483,'Liste des ingrédients'!$B$5:$B$98,0)),0))</f>
        <v/>
      </c>
      <c r="F483" s="22" t="str">
        <f aca="false">IF($B483="","",IFERROR(INDEX('Liste des ingrédients'!$G$5:$G$98,MATCH($B483,'Liste des ingrédients'!$B$5:$B$98,0)),"?"))</f>
        <v/>
      </c>
      <c r="G483" s="24" t="n">
        <f aca="false">IF(OR($B483="",$C483=""),0,IFERROR($C483*E483/IF(OR(F483="kg",F483="L"),1000,1),0))</f>
        <v>0</v>
      </c>
      <c r="H483" s="22" t="str">
        <f aca="false">IF(AND($A483&lt;&gt;"",$A483='Fiche plat'!$C$3),COUNTIF($A$5:$A483,'Fiche plat'!$C$3),"")</f>
        <v/>
      </c>
      <c r="I483" s="0" t="str">
        <f aca="false">IF($A483="","",IFERROR(INDEX(Plats!$D$5:$D$48,MATCH($A483,Plats!$I$5:$I$48,0)),""))</f>
        <v/>
      </c>
    </row>
    <row r="484" customFormat="false" ht="15" hidden="false" customHeight="false" outlineLevel="0" collapsed="false">
      <c r="A484" s="36"/>
      <c r="B484" s="22"/>
      <c r="C484" s="35"/>
      <c r="D484" s="22" t="str">
        <f aca="false">IF($B484="","",IF(F484="kg","g",IF(F484="L","ml",F484)))</f>
        <v/>
      </c>
      <c r="E484" s="24" t="str">
        <f aca="false">IF($B484="","",IFERROR(INDEX('Liste des ingrédients'!$H$5:$H$98,MATCH($B484,'Liste des ingrédients'!$B$5:$B$98,0)),0))</f>
        <v/>
      </c>
      <c r="F484" s="22" t="str">
        <f aca="false">IF($B484="","",IFERROR(INDEX('Liste des ingrédients'!$G$5:$G$98,MATCH($B484,'Liste des ingrédients'!$B$5:$B$98,0)),"?"))</f>
        <v/>
      </c>
      <c r="G484" s="24" t="n">
        <f aca="false">IF(OR($B484="",$C484=""),0,IFERROR($C484*E484/IF(OR(F484="kg",F484="L"),1000,1),0))</f>
        <v>0</v>
      </c>
      <c r="H484" s="22" t="str">
        <f aca="false">IF(AND($A484&lt;&gt;"",$A484='Fiche plat'!$C$3),COUNTIF($A$5:$A484,'Fiche plat'!$C$3),"")</f>
        <v/>
      </c>
      <c r="I484" s="0" t="str">
        <f aca="false">IF($A484="","",IFERROR(INDEX(Plats!$D$5:$D$48,MATCH($A484,Plats!$I$5:$I$48,0)),""))</f>
        <v/>
      </c>
    </row>
    <row r="485" customFormat="false" ht="15" hidden="false" customHeight="false" outlineLevel="0" collapsed="false">
      <c r="A485" s="36"/>
      <c r="B485" s="22"/>
      <c r="C485" s="35"/>
      <c r="D485" s="22" t="str">
        <f aca="false">IF($B485="","",IF(F485="kg","g",IF(F485="L","ml",F485)))</f>
        <v/>
      </c>
      <c r="E485" s="24" t="str">
        <f aca="false">IF($B485="","",IFERROR(INDEX('Liste des ingrédients'!$H$5:$H$98,MATCH($B485,'Liste des ingrédients'!$B$5:$B$98,0)),0))</f>
        <v/>
      </c>
      <c r="F485" s="22" t="str">
        <f aca="false">IF($B485="","",IFERROR(INDEX('Liste des ingrédients'!$G$5:$G$98,MATCH($B485,'Liste des ingrédients'!$B$5:$B$98,0)),"?"))</f>
        <v/>
      </c>
      <c r="G485" s="24" t="n">
        <f aca="false">IF(OR($B485="",$C485=""),0,IFERROR($C485*E485/IF(OR(F485="kg",F485="L"),1000,1),0))</f>
        <v>0</v>
      </c>
      <c r="H485" s="22" t="str">
        <f aca="false">IF(AND($A485&lt;&gt;"",$A485='Fiche plat'!$C$3),COUNTIF($A$5:$A485,'Fiche plat'!$C$3),"")</f>
        <v/>
      </c>
      <c r="I485" s="0" t="str">
        <f aca="false">IF($A485="","",IFERROR(INDEX(Plats!$D$5:$D$48,MATCH($A485,Plats!$I$5:$I$48,0)),""))</f>
        <v/>
      </c>
    </row>
    <row r="486" customFormat="false" ht="15" hidden="false" customHeight="false" outlineLevel="0" collapsed="false">
      <c r="A486" s="36"/>
      <c r="B486" s="22"/>
      <c r="C486" s="35"/>
      <c r="D486" s="22" t="str">
        <f aca="false">IF($B486="","",IF(F486="kg","g",IF(F486="L","ml",F486)))</f>
        <v/>
      </c>
      <c r="E486" s="24" t="str">
        <f aca="false">IF($B486="","",IFERROR(INDEX('Liste des ingrédients'!$H$5:$H$98,MATCH($B486,'Liste des ingrédients'!$B$5:$B$98,0)),0))</f>
        <v/>
      </c>
      <c r="F486" s="22" t="str">
        <f aca="false">IF($B486="","",IFERROR(INDEX('Liste des ingrédients'!$G$5:$G$98,MATCH($B486,'Liste des ingrédients'!$B$5:$B$98,0)),"?"))</f>
        <v/>
      </c>
      <c r="G486" s="24" t="n">
        <f aca="false">IF(OR($B486="",$C486=""),0,IFERROR($C486*E486/IF(OR(F486="kg",F486="L"),1000,1),0))</f>
        <v>0</v>
      </c>
      <c r="H486" s="22" t="str">
        <f aca="false">IF(AND($A486&lt;&gt;"",$A486='Fiche plat'!$C$3),COUNTIF($A$5:$A486,'Fiche plat'!$C$3),"")</f>
        <v/>
      </c>
      <c r="I486" s="0" t="str">
        <f aca="false">IF($A486="","",IFERROR(INDEX(Plats!$D$5:$D$48,MATCH($A486,Plats!$I$5:$I$48,0)),""))</f>
        <v/>
      </c>
    </row>
    <row r="487" customFormat="false" ht="15" hidden="false" customHeight="false" outlineLevel="0" collapsed="false">
      <c r="A487" s="36"/>
      <c r="B487" s="22"/>
      <c r="C487" s="35"/>
      <c r="D487" s="22" t="str">
        <f aca="false">IF($B487="","",IF(F487="kg","g",IF(F487="L","ml",F487)))</f>
        <v/>
      </c>
      <c r="E487" s="24" t="str">
        <f aca="false">IF($B487="","",IFERROR(INDEX('Liste des ingrédients'!$H$5:$H$98,MATCH($B487,'Liste des ingrédients'!$B$5:$B$98,0)),0))</f>
        <v/>
      </c>
      <c r="F487" s="22" t="str">
        <f aca="false">IF($B487="","",IFERROR(INDEX('Liste des ingrédients'!$G$5:$G$98,MATCH($B487,'Liste des ingrédients'!$B$5:$B$98,0)),"?"))</f>
        <v/>
      </c>
      <c r="G487" s="24" t="n">
        <f aca="false">IF(OR($B487="",$C487=""),0,IFERROR($C487*E487/IF(OR(F487="kg",F487="L"),1000,1),0))</f>
        <v>0</v>
      </c>
      <c r="H487" s="22" t="str">
        <f aca="false">IF(AND($A487&lt;&gt;"",$A487='Fiche plat'!$C$3),COUNTIF($A$5:$A487,'Fiche plat'!$C$3),"")</f>
        <v/>
      </c>
      <c r="I487" s="0" t="str">
        <f aca="false">IF($A487="","",IFERROR(INDEX(Plats!$D$5:$D$48,MATCH($A487,Plats!$I$5:$I$48,0)),""))</f>
        <v/>
      </c>
    </row>
    <row r="488" customFormat="false" ht="15" hidden="false" customHeight="false" outlineLevel="0" collapsed="false">
      <c r="A488" s="36"/>
      <c r="B488" s="22"/>
      <c r="C488" s="35"/>
      <c r="D488" s="22" t="str">
        <f aca="false">IF($B488="","",IF(F488="kg","g",IF(F488="L","ml",F488)))</f>
        <v/>
      </c>
      <c r="E488" s="24" t="str">
        <f aca="false">IF($B488="","",IFERROR(INDEX('Liste des ingrédients'!$H$5:$H$98,MATCH($B488,'Liste des ingrédients'!$B$5:$B$98,0)),0))</f>
        <v/>
      </c>
      <c r="F488" s="22" t="str">
        <f aca="false">IF($B488="","",IFERROR(INDEX('Liste des ingrédients'!$G$5:$G$98,MATCH($B488,'Liste des ingrédients'!$B$5:$B$98,0)),"?"))</f>
        <v/>
      </c>
      <c r="G488" s="24" t="n">
        <f aca="false">IF(OR($B488="",$C488=""),0,IFERROR($C488*E488/IF(OR(F488="kg",F488="L"),1000,1),0))</f>
        <v>0</v>
      </c>
      <c r="H488" s="22" t="str">
        <f aca="false">IF(AND($A488&lt;&gt;"",$A488='Fiche plat'!$C$3),COUNTIF($A$5:$A488,'Fiche plat'!$C$3),"")</f>
        <v/>
      </c>
      <c r="I488" s="0" t="str">
        <f aca="false">IF($A488="","",IFERROR(INDEX(Plats!$D$5:$D$48,MATCH($A488,Plats!$I$5:$I$48,0)),""))</f>
        <v/>
      </c>
    </row>
    <row r="489" customFormat="false" ht="15" hidden="false" customHeight="false" outlineLevel="0" collapsed="false">
      <c r="A489" s="36"/>
      <c r="B489" s="22"/>
      <c r="C489" s="35"/>
      <c r="D489" s="22" t="str">
        <f aca="false">IF($B489="","",IF(F489="kg","g",IF(F489="L","ml",F489)))</f>
        <v/>
      </c>
      <c r="E489" s="24" t="str">
        <f aca="false">IF($B489="","",IFERROR(INDEX('Liste des ingrédients'!$H$5:$H$98,MATCH($B489,'Liste des ingrédients'!$B$5:$B$98,0)),0))</f>
        <v/>
      </c>
      <c r="F489" s="22" t="str">
        <f aca="false">IF($B489="","",IFERROR(INDEX('Liste des ingrédients'!$G$5:$G$98,MATCH($B489,'Liste des ingrédients'!$B$5:$B$98,0)),"?"))</f>
        <v/>
      </c>
      <c r="G489" s="24" t="n">
        <f aca="false">IF(OR($B489="",$C489=""),0,IFERROR($C489*E489/IF(OR(F489="kg",F489="L"),1000,1),0))</f>
        <v>0</v>
      </c>
      <c r="H489" s="22" t="str">
        <f aca="false">IF(AND($A489&lt;&gt;"",$A489='Fiche plat'!$C$3),COUNTIF($A$5:$A489,'Fiche plat'!$C$3),"")</f>
        <v/>
      </c>
      <c r="I489" s="0" t="str">
        <f aca="false">IF($A489="","",IFERROR(INDEX(Plats!$D$5:$D$48,MATCH($A489,Plats!$I$5:$I$48,0)),""))</f>
        <v/>
      </c>
    </row>
    <row r="490" customFormat="false" ht="15" hidden="false" customHeight="false" outlineLevel="0" collapsed="false">
      <c r="A490" s="36"/>
      <c r="B490" s="22"/>
      <c r="C490" s="35"/>
      <c r="D490" s="22" t="str">
        <f aca="false">IF($B490="","",IF(F490="kg","g",IF(F490="L","ml",F490)))</f>
        <v/>
      </c>
      <c r="E490" s="24" t="str">
        <f aca="false">IF($B490="","",IFERROR(INDEX('Liste des ingrédients'!$H$5:$H$98,MATCH($B490,'Liste des ingrédients'!$B$5:$B$98,0)),0))</f>
        <v/>
      </c>
      <c r="F490" s="22" t="str">
        <f aca="false">IF($B490="","",IFERROR(INDEX('Liste des ingrédients'!$G$5:$G$98,MATCH($B490,'Liste des ingrédients'!$B$5:$B$98,0)),"?"))</f>
        <v/>
      </c>
      <c r="G490" s="24" t="n">
        <f aca="false">IF(OR($B490="",$C490=""),0,IFERROR($C490*E490/IF(OR(F490="kg",F490="L"),1000,1),0))</f>
        <v>0</v>
      </c>
      <c r="H490" s="22" t="str">
        <f aca="false">IF(AND($A490&lt;&gt;"",$A490='Fiche plat'!$C$3),COUNTIF($A$5:$A490,'Fiche plat'!$C$3),"")</f>
        <v/>
      </c>
      <c r="I490" s="0" t="str">
        <f aca="false">IF($A490="","",IFERROR(INDEX(Plats!$D$5:$D$48,MATCH($A490,Plats!$I$5:$I$48,0)),""))</f>
        <v/>
      </c>
    </row>
    <row r="491" customFormat="false" ht="15" hidden="false" customHeight="false" outlineLevel="0" collapsed="false">
      <c r="A491" s="36"/>
      <c r="B491" s="22"/>
      <c r="C491" s="35"/>
      <c r="D491" s="22" t="str">
        <f aca="false">IF($B491="","",IF(F491="kg","g",IF(F491="L","ml",F491)))</f>
        <v/>
      </c>
      <c r="E491" s="24" t="str">
        <f aca="false">IF($B491="","",IFERROR(INDEX('Liste des ingrédients'!$H$5:$H$98,MATCH($B491,'Liste des ingrédients'!$B$5:$B$98,0)),0))</f>
        <v/>
      </c>
      <c r="F491" s="22" t="str">
        <f aca="false">IF($B491="","",IFERROR(INDEX('Liste des ingrédients'!$G$5:$G$98,MATCH($B491,'Liste des ingrédients'!$B$5:$B$98,0)),"?"))</f>
        <v/>
      </c>
      <c r="G491" s="24" t="n">
        <f aca="false">IF(OR($B491="",$C491=""),0,IFERROR($C491*E491/IF(OR(F491="kg",F491="L"),1000,1),0))</f>
        <v>0</v>
      </c>
      <c r="H491" s="22" t="str">
        <f aca="false">IF(AND($A491&lt;&gt;"",$A491='Fiche plat'!$C$3),COUNTIF($A$5:$A491,'Fiche plat'!$C$3),"")</f>
        <v/>
      </c>
      <c r="I491" s="0" t="str">
        <f aca="false">IF($A491="","",IFERROR(INDEX(Plats!$D$5:$D$48,MATCH($A491,Plats!$I$5:$I$48,0)),""))</f>
        <v/>
      </c>
    </row>
    <row r="492" customFormat="false" ht="15" hidden="false" customHeight="false" outlineLevel="0" collapsed="false">
      <c r="A492" s="36"/>
      <c r="B492" s="22"/>
      <c r="C492" s="35"/>
      <c r="D492" s="22" t="str">
        <f aca="false">IF($B492="","",IF(F492="kg","g",IF(F492="L","ml",F492)))</f>
        <v/>
      </c>
      <c r="E492" s="24" t="str">
        <f aca="false">IF($B492="","",IFERROR(INDEX('Liste des ingrédients'!$H$5:$H$98,MATCH($B492,'Liste des ingrédients'!$B$5:$B$98,0)),0))</f>
        <v/>
      </c>
      <c r="F492" s="22" t="str">
        <f aca="false">IF($B492="","",IFERROR(INDEX('Liste des ingrédients'!$G$5:$G$98,MATCH($B492,'Liste des ingrédients'!$B$5:$B$98,0)),"?"))</f>
        <v/>
      </c>
      <c r="G492" s="24" t="n">
        <f aca="false">IF(OR($B492="",$C492=""),0,IFERROR($C492*E492/IF(OR(F492="kg",F492="L"),1000,1),0))</f>
        <v>0</v>
      </c>
      <c r="H492" s="22" t="str">
        <f aca="false">IF(AND($A492&lt;&gt;"",$A492='Fiche plat'!$C$3),COUNTIF($A$5:$A492,'Fiche plat'!$C$3),"")</f>
        <v/>
      </c>
      <c r="I492" s="0" t="str">
        <f aca="false">IF($A492="","",IFERROR(INDEX(Plats!$D$5:$D$48,MATCH($A492,Plats!$I$5:$I$48,0)),""))</f>
        <v/>
      </c>
    </row>
    <row r="493" customFormat="false" ht="15" hidden="false" customHeight="false" outlineLevel="0" collapsed="false">
      <c r="A493" s="36"/>
      <c r="B493" s="22"/>
      <c r="C493" s="35"/>
      <c r="D493" s="22" t="str">
        <f aca="false">IF($B493="","",IF(F493="kg","g",IF(F493="L","ml",F493)))</f>
        <v/>
      </c>
      <c r="E493" s="24" t="str">
        <f aca="false">IF($B493="","",IFERROR(INDEX('Liste des ingrédients'!$H$5:$H$98,MATCH($B493,'Liste des ingrédients'!$B$5:$B$98,0)),0))</f>
        <v/>
      </c>
      <c r="F493" s="22" t="str">
        <f aca="false">IF($B493="","",IFERROR(INDEX('Liste des ingrédients'!$G$5:$G$98,MATCH($B493,'Liste des ingrédients'!$B$5:$B$98,0)),"?"))</f>
        <v/>
      </c>
      <c r="G493" s="24" t="n">
        <f aca="false">IF(OR($B493="",$C493=""),0,IFERROR($C493*E493/IF(OR(F493="kg",F493="L"),1000,1),0))</f>
        <v>0</v>
      </c>
      <c r="H493" s="22" t="str">
        <f aca="false">IF(AND($A493&lt;&gt;"",$A493='Fiche plat'!$C$3),COUNTIF($A$5:$A493,'Fiche plat'!$C$3),"")</f>
        <v/>
      </c>
      <c r="I493" s="0" t="str">
        <f aca="false">IF($A493="","",IFERROR(INDEX(Plats!$D$5:$D$48,MATCH($A493,Plats!$I$5:$I$48,0)),""))</f>
        <v/>
      </c>
    </row>
    <row r="494" customFormat="false" ht="15" hidden="false" customHeight="false" outlineLevel="0" collapsed="false">
      <c r="A494" s="36"/>
      <c r="B494" s="22"/>
      <c r="C494" s="35"/>
      <c r="D494" s="22" t="str">
        <f aca="false">IF($B494="","",IF(F494="kg","g",IF(F494="L","ml",F494)))</f>
        <v/>
      </c>
      <c r="E494" s="24" t="str">
        <f aca="false">IF($B494="","",IFERROR(INDEX('Liste des ingrédients'!$H$5:$H$98,MATCH($B494,'Liste des ingrédients'!$B$5:$B$98,0)),0))</f>
        <v/>
      </c>
      <c r="F494" s="22" t="str">
        <f aca="false">IF($B494="","",IFERROR(INDEX('Liste des ingrédients'!$G$5:$G$98,MATCH($B494,'Liste des ingrédients'!$B$5:$B$98,0)),"?"))</f>
        <v/>
      </c>
      <c r="G494" s="24" t="n">
        <f aca="false">IF(OR($B494="",$C494=""),0,IFERROR($C494*E494/IF(OR(F494="kg",F494="L"),1000,1),0))</f>
        <v>0</v>
      </c>
      <c r="H494" s="22" t="str">
        <f aca="false">IF(AND($A494&lt;&gt;"",$A494='Fiche plat'!$C$3),COUNTIF($A$5:$A494,'Fiche plat'!$C$3),"")</f>
        <v/>
      </c>
      <c r="I494" s="0" t="str">
        <f aca="false">IF($A494="","",IFERROR(INDEX(Plats!$D$5:$D$48,MATCH($A494,Plats!$I$5:$I$48,0)),""))</f>
        <v/>
      </c>
    </row>
    <row r="495" customFormat="false" ht="15" hidden="false" customHeight="false" outlineLevel="0" collapsed="false">
      <c r="A495" s="36"/>
      <c r="B495" s="22"/>
      <c r="C495" s="35"/>
      <c r="D495" s="22" t="str">
        <f aca="false">IF($B495="","",IF(F495="kg","g",IF(F495="L","ml",F495)))</f>
        <v/>
      </c>
      <c r="E495" s="24" t="str">
        <f aca="false">IF($B495="","",IFERROR(INDEX('Liste des ingrédients'!$H$5:$H$98,MATCH($B495,'Liste des ingrédients'!$B$5:$B$98,0)),0))</f>
        <v/>
      </c>
      <c r="F495" s="22" t="str">
        <f aca="false">IF($B495="","",IFERROR(INDEX('Liste des ingrédients'!$G$5:$G$98,MATCH($B495,'Liste des ingrédients'!$B$5:$B$98,0)),"?"))</f>
        <v/>
      </c>
      <c r="G495" s="24" t="n">
        <f aca="false">IF(OR($B495="",$C495=""),0,IFERROR($C495*E495/IF(OR(F495="kg",F495="L"),1000,1),0))</f>
        <v>0</v>
      </c>
      <c r="H495" s="22" t="str">
        <f aca="false">IF(AND($A495&lt;&gt;"",$A495='Fiche plat'!$C$3),COUNTIF($A$5:$A495,'Fiche plat'!$C$3),"")</f>
        <v/>
      </c>
      <c r="I495" s="0" t="str">
        <f aca="false">IF($A495="","",IFERROR(INDEX(Plats!$D$5:$D$48,MATCH($A495,Plats!$I$5:$I$48,0)),""))</f>
        <v/>
      </c>
    </row>
    <row r="496" customFormat="false" ht="15" hidden="false" customHeight="false" outlineLevel="0" collapsed="false">
      <c r="A496" s="36"/>
      <c r="B496" s="22"/>
      <c r="C496" s="35"/>
      <c r="D496" s="22" t="str">
        <f aca="false">IF($B496="","",IF(F496="kg","g",IF(F496="L","ml",F496)))</f>
        <v/>
      </c>
      <c r="E496" s="24" t="str">
        <f aca="false">IF($B496="","",IFERROR(INDEX('Liste des ingrédients'!$H$5:$H$98,MATCH($B496,'Liste des ingrédients'!$B$5:$B$98,0)),0))</f>
        <v/>
      </c>
      <c r="F496" s="22" t="str">
        <f aca="false">IF($B496="","",IFERROR(INDEX('Liste des ingrédients'!$G$5:$G$98,MATCH($B496,'Liste des ingrédients'!$B$5:$B$98,0)),"?"))</f>
        <v/>
      </c>
      <c r="G496" s="24" t="n">
        <f aca="false">IF(OR($B496="",$C496=""),0,IFERROR($C496*E496/IF(OR(F496="kg",F496="L"),1000,1),0))</f>
        <v>0</v>
      </c>
      <c r="H496" s="22" t="str">
        <f aca="false">IF(AND($A496&lt;&gt;"",$A496='Fiche plat'!$C$3),COUNTIF($A$5:$A496,'Fiche plat'!$C$3),"")</f>
        <v/>
      </c>
      <c r="I496" s="0" t="str">
        <f aca="false">IF($A496="","",IFERROR(INDEX(Plats!$D$5:$D$48,MATCH($A496,Plats!$I$5:$I$48,0)),""))</f>
        <v/>
      </c>
    </row>
    <row r="497" customFormat="false" ht="15" hidden="false" customHeight="false" outlineLevel="0" collapsed="false">
      <c r="A497" s="36"/>
      <c r="B497" s="22"/>
      <c r="C497" s="35"/>
      <c r="D497" s="22" t="str">
        <f aca="false">IF($B497="","",IF(F497="kg","g",IF(F497="L","ml",F497)))</f>
        <v/>
      </c>
      <c r="E497" s="24" t="str">
        <f aca="false">IF($B497="","",IFERROR(INDEX('Liste des ingrédients'!$H$5:$H$98,MATCH($B497,'Liste des ingrédients'!$B$5:$B$98,0)),0))</f>
        <v/>
      </c>
      <c r="F497" s="22" t="str">
        <f aca="false">IF($B497="","",IFERROR(INDEX('Liste des ingrédients'!$G$5:$G$98,MATCH($B497,'Liste des ingrédients'!$B$5:$B$98,0)),"?"))</f>
        <v/>
      </c>
      <c r="G497" s="24" t="n">
        <f aca="false">IF(OR($B497="",$C497=""),0,IFERROR($C497*E497/IF(OR(F497="kg",F497="L"),1000,1),0))</f>
        <v>0</v>
      </c>
      <c r="H497" s="22" t="str">
        <f aca="false">IF(AND($A497&lt;&gt;"",$A497='Fiche plat'!$C$3),COUNTIF($A$5:$A497,'Fiche plat'!$C$3),"")</f>
        <v/>
      </c>
      <c r="I497" s="0" t="str">
        <f aca="false">IF($A497="","",IFERROR(INDEX(Plats!$D$5:$D$48,MATCH($A497,Plats!$I$5:$I$48,0)),""))</f>
        <v/>
      </c>
    </row>
    <row r="498" customFormat="false" ht="15" hidden="false" customHeight="false" outlineLevel="0" collapsed="false">
      <c r="A498" s="36"/>
      <c r="B498" s="22"/>
      <c r="C498" s="35"/>
      <c r="D498" s="22" t="str">
        <f aca="false">IF($B498="","",IF(F498="kg","g",IF(F498="L","ml",F498)))</f>
        <v/>
      </c>
      <c r="E498" s="24" t="str">
        <f aca="false">IF($B498="","",IFERROR(INDEX('Liste des ingrédients'!$H$5:$H$98,MATCH($B498,'Liste des ingrédients'!$B$5:$B$98,0)),0))</f>
        <v/>
      </c>
      <c r="F498" s="22" t="str">
        <f aca="false">IF($B498="","",IFERROR(INDEX('Liste des ingrédients'!$G$5:$G$98,MATCH($B498,'Liste des ingrédients'!$B$5:$B$98,0)),"?"))</f>
        <v/>
      </c>
      <c r="G498" s="24" t="n">
        <f aca="false">IF(OR($B498="",$C498=""),0,IFERROR($C498*E498/IF(OR(F498="kg",F498="L"),1000,1),0))</f>
        <v>0</v>
      </c>
      <c r="H498" s="22" t="str">
        <f aca="false">IF(AND($A498&lt;&gt;"",$A498='Fiche plat'!$C$3),COUNTIF($A$5:$A498,'Fiche plat'!$C$3),"")</f>
        <v/>
      </c>
      <c r="I498" s="0" t="str">
        <f aca="false">IF($A498="","",IFERROR(INDEX(Plats!$D$5:$D$48,MATCH($A498,Plats!$I$5:$I$48,0)),""))</f>
        <v/>
      </c>
    </row>
    <row r="499" customFormat="false" ht="15" hidden="false" customHeight="false" outlineLevel="0" collapsed="false">
      <c r="A499" s="36"/>
      <c r="B499" s="22"/>
      <c r="C499" s="35"/>
      <c r="D499" s="22" t="str">
        <f aca="false">IF($B499="","",IF(F499="kg","g",IF(F499="L","ml",F499)))</f>
        <v/>
      </c>
      <c r="E499" s="24" t="str">
        <f aca="false">IF($B499="","",IFERROR(INDEX('Liste des ingrédients'!$H$5:$H$98,MATCH($B499,'Liste des ingrédients'!$B$5:$B$98,0)),0))</f>
        <v/>
      </c>
      <c r="F499" s="22" t="str">
        <f aca="false">IF($B499="","",IFERROR(INDEX('Liste des ingrédients'!$G$5:$G$98,MATCH($B499,'Liste des ingrédients'!$B$5:$B$98,0)),"?"))</f>
        <v/>
      </c>
      <c r="G499" s="24" t="n">
        <f aca="false">IF(OR($B499="",$C499=""),0,IFERROR($C499*E499/IF(OR(F499="kg",F499="L"),1000,1),0))</f>
        <v>0</v>
      </c>
      <c r="H499" s="22" t="str">
        <f aca="false">IF(AND($A499&lt;&gt;"",$A499='Fiche plat'!$C$3),COUNTIF($A$5:$A499,'Fiche plat'!$C$3),"")</f>
        <v/>
      </c>
      <c r="I499" s="0" t="str">
        <f aca="false">IF($A499="","",IFERROR(INDEX(Plats!$D$5:$D$48,MATCH($A499,Plats!$I$5:$I$48,0)),""))</f>
        <v/>
      </c>
    </row>
    <row r="500" customFormat="false" ht="15" hidden="false" customHeight="false" outlineLevel="0" collapsed="false">
      <c r="A500" s="36"/>
      <c r="B500" s="22"/>
      <c r="C500" s="35"/>
      <c r="D500" s="22" t="str">
        <f aca="false">IF($B500="","",IF(F500="kg","g",IF(F500="L","ml",F500)))</f>
        <v/>
      </c>
      <c r="E500" s="24" t="str">
        <f aca="false">IF($B500="","",IFERROR(INDEX('Liste des ingrédients'!$H$5:$H$98,MATCH($B500,'Liste des ingrédients'!$B$5:$B$98,0)),0))</f>
        <v/>
      </c>
      <c r="F500" s="22" t="str">
        <f aca="false">IF($B500="","",IFERROR(INDEX('Liste des ingrédients'!$G$5:$G$98,MATCH($B500,'Liste des ingrédients'!$B$5:$B$98,0)),"?"))</f>
        <v/>
      </c>
      <c r="G500" s="24" t="n">
        <f aca="false">IF(OR($B500="",$C500=""),0,IFERROR($C500*E500/IF(OR(F500="kg",F500="L"),1000,1),0))</f>
        <v>0</v>
      </c>
      <c r="H500" s="22" t="str">
        <f aca="false">IF(AND($A500&lt;&gt;"",$A500='Fiche plat'!$C$3),COUNTIF($A$5:$A500,'Fiche plat'!$C$3),"")</f>
        <v/>
      </c>
      <c r="I500" s="0" t="str">
        <f aca="false">IF($A500="","",IFERROR(INDEX(Plats!$D$5:$D$48,MATCH($A500,Plats!$I$5:$I$48,0)),""))</f>
        <v/>
      </c>
    </row>
    <row r="501" customFormat="false" ht="15" hidden="false" customHeight="false" outlineLevel="0" collapsed="false">
      <c r="A501" s="36"/>
      <c r="B501" s="22"/>
      <c r="C501" s="35"/>
      <c r="D501" s="22" t="str">
        <f aca="false">IF($B501="","",IF(F501="kg","g",IF(F501="L","ml",F501)))</f>
        <v/>
      </c>
      <c r="E501" s="24" t="str">
        <f aca="false">IF($B501="","",IFERROR(INDEX('Liste des ingrédients'!$H$5:$H$98,MATCH($B501,'Liste des ingrédients'!$B$5:$B$98,0)),0))</f>
        <v/>
      </c>
      <c r="F501" s="22" t="str">
        <f aca="false">IF($B501="","",IFERROR(INDEX('Liste des ingrédients'!$G$5:$G$98,MATCH($B501,'Liste des ingrédients'!$B$5:$B$98,0)),"?"))</f>
        <v/>
      </c>
      <c r="G501" s="24" t="n">
        <f aca="false">IF(OR($B501="",$C501=""),0,IFERROR($C501*E501/IF(OR(F501="kg",F501="L"),1000,1),0))</f>
        <v>0</v>
      </c>
      <c r="H501" s="22" t="str">
        <f aca="false">IF(AND($A501&lt;&gt;"",$A501='Fiche plat'!$C$3),COUNTIF($A$5:$A501,'Fiche plat'!$C$3),"")</f>
        <v/>
      </c>
      <c r="I501" s="0" t="str">
        <f aca="false">IF($A501="","",IFERROR(INDEX(Plats!$D$5:$D$48,MATCH($A501,Plats!$I$5:$I$48,0)),""))</f>
        <v/>
      </c>
    </row>
    <row r="502" customFormat="false" ht="15" hidden="false" customHeight="false" outlineLevel="0" collapsed="false">
      <c r="A502" s="36"/>
      <c r="B502" s="22"/>
      <c r="C502" s="35"/>
      <c r="D502" s="22" t="str">
        <f aca="false">IF($B502="","",IF(F502="kg","g",IF(F502="L","ml",F502)))</f>
        <v/>
      </c>
      <c r="E502" s="24" t="str">
        <f aca="false">IF($B502="","",IFERROR(INDEX('Liste des ingrédients'!$H$5:$H$98,MATCH($B502,'Liste des ingrédients'!$B$5:$B$98,0)),0))</f>
        <v/>
      </c>
      <c r="F502" s="22" t="str">
        <f aca="false">IF($B502="","",IFERROR(INDEX('Liste des ingrédients'!$G$5:$G$98,MATCH($B502,'Liste des ingrédients'!$B$5:$B$98,0)),"?"))</f>
        <v/>
      </c>
      <c r="G502" s="24" t="n">
        <f aca="false">IF(OR($B502="",$C502=""),0,IFERROR($C502*E502/IF(OR(F502="kg",F502="L"),1000,1),0))</f>
        <v>0</v>
      </c>
      <c r="H502" s="22" t="str">
        <f aca="false">IF(AND($A502&lt;&gt;"",$A502='Fiche plat'!$C$3),COUNTIF($A$5:$A502,'Fiche plat'!$C$3),"")</f>
        <v/>
      </c>
      <c r="I502" s="0" t="str">
        <f aca="false">IF($A502="","",IFERROR(INDEX(Plats!$D$5:$D$48,MATCH($A502,Plats!$I$5:$I$48,0)),""))</f>
        <v/>
      </c>
    </row>
    <row r="503" customFormat="false" ht="15" hidden="false" customHeight="false" outlineLevel="0" collapsed="false">
      <c r="A503" s="36"/>
      <c r="B503" s="22"/>
      <c r="C503" s="35"/>
      <c r="D503" s="22" t="str">
        <f aca="false">IF($B503="","",IF(F503="kg","g",IF(F503="L","ml",F503)))</f>
        <v/>
      </c>
      <c r="E503" s="24" t="str">
        <f aca="false">IF($B503="","",IFERROR(INDEX('Liste des ingrédients'!$H$5:$H$98,MATCH($B503,'Liste des ingrédients'!$B$5:$B$98,0)),0))</f>
        <v/>
      </c>
      <c r="F503" s="22" t="str">
        <f aca="false">IF($B503="","",IFERROR(INDEX('Liste des ingrédients'!$G$5:$G$98,MATCH($B503,'Liste des ingrédients'!$B$5:$B$98,0)),"?"))</f>
        <v/>
      </c>
      <c r="G503" s="24" t="n">
        <f aca="false">IF(OR($B503="",$C503=""),0,IFERROR($C503*E503/IF(OR(F503="kg",F503="L"),1000,1),0))</f>
        <v>0</v>
      </c>
      <c r="H503" s="22" t="str">
        <f aca="false">IF(AND($A503&lt;&gt;"",$A503='Fiche plat'!$C$3),COUNTIF($A$5:$A503,'Fiche plat'!$C$3),"")</f>
        <v/>
      </c>
      <c r="I503" s="0" t="str">
        <f aca="false">IF($A503="","",IFERROR(INDEX(Plats!$D$5:$D$48,MATCH($A503,Plats!$I$5:$I$48,0)),""))</f>
        <v/>
      </c>
    </row>
    <row r="504" customFormat="false" ht="15" hidden="false" customHeight="false" outlineLevel="0" collapsed="false">
      <c r="A504" s="36"/>
      <c r="B504" s="22"/>
      <c r="C504" s="35"/>
      <c r="D504" s="22" t="str">
        <f aca="false">IF($B504="","",IF(F504="kg","g",IF(F504="L","ml",F504)))</f>
        <v/>
      </c>
      <c r="E504" s="24" t="str">
        <f aca="false">IF($B504="","",IFERROR(INDEX('Liste des ingrédients'!$H$5:$H$98,MATCH($B504,'Liste des ingrédients'!$B$5:$B$98,0)),0))</f>
        <v/>
      </c>
      <c r="F504" s="22" t="str">
        <f aca="false">IF($B504="","",IFERROR(INDEX('Liste des ingrédients'!$G$5:$G$98,MATCH($B504,'Liste des ingrédients'!$B$5:$B$98,0)),"?"))</f>
        <v/>
      </c>
      <c r="G504" s="24" t="n">
        <f aca="false">IF(OR($B504="",$C504=""),0,IFERROR($C504*E504/IF(OR(F504="kg",F504="L"),1000,1),0))</f>
        <v>0</v>
      </c>
      <c r="H504" s="22" t="str">
        <f aca="false">IF(AND($A504&lt;&gt;"",$A504='Fiche plat'!$C$3),COUNTIF($A$5:$A504,'Fiche plat'!$C$3),"")</f>
        <v/>
      </c>
      <c r="I504" s="0" t="str">
        <f aca="false">IF($A504="","",IFERROR(INDEX(Plats!$D$5:$D$48,MATCH($A504,Plats!$I$5:$I$48,0)),""))</f>
        <v/>
      </c>
    </row>
    <row r="505" customFormat="false" ht="15" hidden="false" customHeight="false" outlineLevel="0" collapsed="false">
      <c r="A505" s="36"/>
      <c r="B505" s="22"/>
      <c r="C505" s="35"/>
      <c r="D505" s="22" t="str">
        <f aca="false">IF($B505="","",IF(F505="kg","g",IF(F505="L","ml",F505)))</f>
        <v/>
      </c>
      <c r="E505" s="24" t="str">
        <f aca="false">IF($B505="","",IFERROR(INDEX('Liste des ingrédients'!$H$5:$H$98,MATCH($B505,'Liste des ingrédients'!$B$5:$B$98,0)),0))</f>
        <v/>
      </c>
      <c r="F505" s="22" t="str">
        <f aca="false">IF($B505="","",IFERROR(INDEX('Liste des ingrédients'!$G$5:$G$98,MATCH($B505,'Liste des ingrédients'!$B$5:$B$98,0)),"?"))</f>
        <v/>
      </c>
      <c r="G505" s="24" t="n">
        <f aca="false">IF(OR($B505="",$C505=""),0,IFERROR($C505*E505/IF(OR(F505="kg",F505="L"),1000,1),0))</f>
        <v>0</v>
      </c>
      <c r="H505" s="22" t="str">
        <f aca="false">IF(AND($A505&lt;&gt;"",$A505='Fiche plat'!$C$3),COUNTIF($A$5:$A505,'Fiche plat'!$C$3),"")</f>
        <v/>
      </c>
      <c r="I505" s="0" t="str">
        <f aca="false">IF($A505="","",IFERROR(INDEX(Plats!$D$5:$D$48,MATCH($A505,Plats!$I$5:$I$48,0)),""))</f>
        <v/>
      </c>
    </row>
    <row r="506" customFormat="false" ht="15" hidden="false" customHeight="false" outlineLevel="0" collapsed="false">
      <c r="A506" s="36"/>
      <c r="B506" s="22"/>
      <c r="C506" s="35"/>
      <c r="D506" s="22" t="str">
        <f aca="false">IF($B506="","",IF(F506="kg","g",IF(F506="L","ml",F506)))</f>
        <v/>
      </c>
      <c r="E506" s="24" t="str">
        <f aca="false">IF($B506="","",IFERROR(INDEX('Liste des ingrédients'!$H$5:$H$98,MATCH($B506,'Liste des ingrédients'!$B$5:$B$98,0)),0))</f>
        <v/>
      </c>
      <c r="F506" s="22" t="str">
        <f aca="false">IF($B506="","",IFERROR(INDEX('Liste des ingrédients'!$G$5:$G$98,MATCH($B506,'Liste des ingrédients'!$B$5:$B$98,0)),"?"))</f>
        <v/>
      </c>
      <c r="G506" s="24" t="n">
        <f aca="false">IF(OR($B506="",$C506=""),0,IFERROR($C506*E506/IF(OR(F506="kg",F506="L"),1000,1),0))</f>
        <v>0</v>
      </c>
      <c r="H506" s="22" t="str">
        <f aca="false">IF(AND($A506&lt;&gt;"",$A506='Fiche plat'!$C$3),COUNTIF($A$5:$A506,'Fiche plat'!$C$3),"")</f>
        <v/>
      </c>
      <c r="I506" s="0" t="str">
        <f aca="false">IF($A506="","",IFERROR(INDEX(Plats!$D$5:$D$48,MATCH($A506,Plats!$I$5:$I$48,0)),""))</f>
        <v/>
      </c>
    </row>
    <row r="507" customFormat="false" ht="15" hidden="false" customHeight="false" outlineLevel="0" collapsed="false">
      <c r="A507" s="36"/>
      <c r="B507" s="22"/>
      <c r="C507" s="35"/>
      <c r="D507" s="22" t="str">
        <f aca="false">IF($B507="","",IF(F507="kg","g",IF(F507="L","ml",F507)))</f>
        <v/>
      </c>
      <c r="E507" s="24" t="str">
        <f aca="false">IF($B507="","",IFERROR(INDEX('Liste des ingrédients'!$H$5:$H$98,MATCH($B507,'Liste des ingrédients'!$B$5:$B$98,0)),0))</f>
        <v/>
      </c>
      <c r="F507" s="22" t="str">
        <f aca="false">IF($B507="","",IFERROR(INDEX('Liste des ingrédients'!$G$5:$G$98,MATCH($B507,'Liste des ingrédients'!$B$5:$B$98,0)),"?"))</f>
        <v/>
      </c>
      <c r="G507" s="24" t="n">
        <f aca="false">IF(OR($B507="",$C507=""),0,IFERROR($C507*E507/IF(OR(F507="kg",F507="L"),1000,1),0))</f>
        <v>0</v>
      </c>
      <c r="H507" s="22" t="str">
        <f aca="false">IF(AND($A507&lt;&gt;"",$A507='Fiche plat'!$C$3),COUNTIF($A$5:$A507,'Fiche plat'!$C$3),"")</f>
        <v/>
      </c>
      <c r="I507" s="0" t="str">
        <f aca="false">IF($A507="","",IFERROR(INDEX(Plats!$D$5:$D$48,MATCH($A507,Plats!$I$5:$I$48,0)),""))</f>
        <v/>
      </c>
    </row>
    <row r="508" customFormat="false" ht="15" hidden="false" customHeight="false" outlineLevel="0" collapsed="false">
      <c r="A508" s="36"/>
      <c r="B508" s="22"/>
      <c r="C508" s="35"/>
      <c r="D508" s="22" t="str">
        <f aca="false">IF($B508="","",IF(F508="kg","g",IF(F508="L","ml",F508)))</f>
        <v/>
      </c>
      <c r="E508" s="24" t="str">
        <f aca="false">IF($B508="","",IFERROR(INDEX('Liste des ingrédients'!$H$5:$H$98,MATCH($B508,'Liste des ingrédients'!$B$5:$B$98,0)),0))</f>
        <v/>
      </c>
      <c r="F508" s="22" t="str">
        <f aca="false">IF($B508="","",IFERROR(INDEX('Liste des ingrédients'!$G$5:$G$98,MATCH($B508,'Liste des ingrédients'!$B$5:$B$98,0)),"?"))</f>
        <v/>
      </c>
      <c r="G508" s="24" t="n">
        <f aca="false">IF(OR($B508="",$C508=""),0,IFERROR($C508*E508/IF(OR(F508="kg",F508="L"),1000,1),0))</f>
        <v>0</v>
      </c>
      <c r="H508" s="22" t="str">
        <f aca="false">IF(AND($A508&lt;&gt;"",$A508='Fiche plat'!$C$3),COUNTIF($A$5:$A508,'Fiche plat'!$C$3),"")</f>
        <v/>
      </c>
      <c r="I508" s="0" t="str">
        <f aca="false">IF($A508="","",IFERROR(INDEX(Plats!$D$5:$D$48,MATCH($A508,Plats!$I$5:$I$48,0)),""))</f>
        <v/>
      </c>
    </row>
    <row r="509" customFormat="false" ht="15" hidden="false" customHeight="false" outlineLevel="0" collapsed="false">
      <c r="A509" s="36"/>
      <c r="B509" s="22"/>
      <c r="C509" s="35"/>
      <c r="D509" s="22" t="str">
        <f aca="false">IF($B509="","",IF(F509="kg","g",IF(F509="L","ml",F509)))</f>
        <v/>
      </c>
      <c r="E509" s="24" t="str">
        <f aca="false">IF($B509="","",IFERROR(INDEX('Liste des ingrédients'!$H$5:$H$98,MATCH($B509,'Liste des ingrédients'!$B$5:$B$98,0)),0))</f>
        <v/>
      </c>
      <c r="F509" s="22" t="str">
        <f aca="false">IF($B509="","",IFERROR(INDEX('Liste des ingrédients'!$G$5:$G$98,MATCH($B509,'Liste des ingrédients'!$B$5:$B$98,0)),"?"))</f>
        <v/>
      </c>
      <c r="G509" s="24" t="n">
        <f aca="false">IF(OR($B509="",$C509=""),0,IFERROR($C509*E509/IF(OR(F509="kg",F509="L"),1000,1),0))</f>
        <v>0</v>
      </c>
      <c r="H509" s="22" t="str">
        <f aca="false">IF(AND($A509&lt;&gt;"",$A509='Fiche plat'!$C$3),COUNTIF($A$5:$A509,'Fiche plat'!$C$3),"")</f>
        <v/>
      </c>
      <c r="I509" s="0" t="str">
        <f aca="false">IF($A509="","",IFERROR(INDEX(Plats!$D$5:$D$48,MATCH($A509,Plats!$I$5:$I$48,0)),""))</f>
        <v/>
      </c>
    </row>
    <row r="510" customFormat="false" ht="15" hidden="false" customHeight="false" outlineLevel="0" collapsed="false">
      <c r="A510" s="36"/>
      <c r="B510" s="22"/>
      <c r="C510" s="35"/>
      <c r="D510" s="22" t="str">
        <f aca="false">IF($B510="","",IF(F510="kg","g",IF(F510="L","ml",F510)))</f>
        <v/>
      </c>
      <c r="E510" s="24" t="str">
        <f aca="false">IF($B510="","",IFERROR(INDEX('Liste des ingrédients'!$H$5:$H$98,MATCH($B510,'Liste des ingrédients'!$B$5:$B$98,0)),0))</f>
        <v/>
      </c>
      <c r="F510" s="22" t="str">
        <f aca="false">IF($B510="","",IFERROR(INDEX('Liste des ingrédients'!$G$5:$G$98,MATCH($B510,'Liste des ingrédients'!$B$5:$B$98,0)),"?"))</f>
        <v/>
      </c>
      <c r="G510" s="24" t="n">
        <f aca="false">IF(OR($B510="",$C510=""),0,IFERROR($C510*E510/IF(OR(F510="kg",F510="L"),1000,1),0))</f>
        <v>0</v>
      </c>
      <c r="H510" s="22" t="str">
        <f aca="false">IF(AND($A510&lt;&gt;"",$A510='Fiche plat'!$C$3),COUNTIF($A$5:$A510,'Fiche plat'!$C$3),"")</f>
        <v/>
      </c>
      <c r="I510" s="0" t="str">
        <f aca="false">IF($A510="","",IFERROR(INDEX(Plats!$D$5:$D$48,MATCH($A510,Plats!$I$5:$I$48,0)),""))</f>
        <v/>
      </c>
    </row>
    <row r="511" customFormat="false" ht="15" hidden="false" customHeight="false" outlineLevel="0" collapsed="false">
      <c r="A511" s="36"/>
      <c r="B511" s="22"/>
      <c r="C511" s="35"/>
      <c r="D511" s="22" t="str">
        <f aca="false">IF($B511="","",IF(F511="kg","g",IF(F511="L","ml",F511)))</f>
        <v/>
      </c>
      <c r="E511" s="24" t="str">
        <f aca="false">IF($B511="","",IFERROR(INDEX('Liste des ingrédients'!$H$5:$H$98,MATCH($B511,'Liste des ingrédients'!$B$5:$B$98,0)),0))</f>
        <v/>
      </c>
      <c r="F511" s="22" t="str">
        <f aca="false">IF($B511="","",IFERROR(INDEX('Liste des ingrédients'!$G$5:$G$98,MATCH($B511,'Liste des ingrédients'!$B$5:$B$98,0)),"?"))</f>
        <v/>
      </c>
      <c r="G511" s="24" t="n">
        <f aca="false">IF(OR($B511="",$C511=""),0,IFERROR($C511*E511/IF(OR(F511="kg",F511="L"),1000,1),0))</f>
        <v>0</v>
      </c>
      <c r="H511" s="22" t="str">
        <f aca="false">IF(AND($A511&lt;&gt;"",$A511='Fiche plat'!$C$3),COUNTIF($A$5:$A511,'Fiche plat'!$C$3),"")</f>
        <v/>
      </c>
      <c r="I511" s="0" t="str">
        <f aca="false">IF($A511="","",IFERROR(INDEX(Plats!$D$5:$D$48,MATCH($A511,Plats!$I$5:$I$48,0)),""))</f>
        <v/>
      </c>
    </row>
    <row r="512" customFormat="false" ht="15" hidden="false" customHeight="false" outlineLevel="0" collapsed="false">
      <c r="A512" s="36"/>
      <c r="B512" s="22"/>
      <c r="C512" s="35"/>
      <c r="D512" s="22" t="str">
        <f aca="false">IF($B512="","",IF(F512="kg","g",IF(F512="L","ml",F512)))</f>
        <v/>
      </c>
      <c r="E512" s="24" t="str">
        <f aca="false">IF($B512="","",IFERROR(INDEX('Liste des ingrédients'!$H$5:$H$98,MATCH($B512,'Liste des ingrédients'!$B$5:$B$98,0)),0))</f>
        <v/>
      </c>
      <c r="F512" s="22" t="str">
        <f aca="false">IF($B512="","",IFERROR(INDEX('Liste des ingrédients'!$G$5:$G$98,MATCH($B512,'Liste des ingrédients'!$B$5:$B$98,0)),"?"))</f>
        <v/>
      </c>
      <c r="G512" s="24" t="n">
        <f aca="false">IF(OR($B512="",$C512=""),0,IFERROR($C512*E512/IF(OR(F512="kg",F512="L"),1000,1),0))</f>
        <v>0</v>
      </c>
      <c r="H512" s="22" t="str">
        <f aca="false">IF(AND($A512&lt;&gt;"",$A512='Fiche plat'!$C$3),COUNTIF($A$5:$A512,'Fiche plat'!$C$3),"")</f>
        <v/>
      </c>
      <c r="I512" s="0" t="str">
        <f aca="false">IF($A512="","",IFERROR(INDEX(Plats!$D$5:$D$48,MATCH($A512,Plats!$I$5:$I$48,0)),""))</f>
        <v/>
      </c>
    </row>
    <row r="513" customFormat="false" ht="15" hidden="false" customHeight="false" outlineLevel="0" collapsed="false">
      <c r="A513" s="36"/>
      <c r="B513" s="22"/>
      <c r="C513" s="35"/>
      <c r="D513" s="22" t="str">
        <f aca="false">IF($B513="","",IF(F513="kg","g",IF(F513="L","ml",F513)))</f>
        <v/>
      </c>
      <c r="E513" s="24" t="str">
        <f aca="false">IF($B513="","",IFERROR(INDEX('Liste des ingrédients'!$H$5:$H$98,MATCH($B513,'Liste des ingrédients'!$B$5:$B$98,0)),0))</f>
        <v/>
      </c>
      <c r="F513" s="22" t="str">
        <f aca="false">IF($B513="","",IFERROR(INDEX('Liste des ingrédients'!$G$5:$G$98,MATCH($B513,'Liste des ingrédients'!$B$5:$B$98,0)),"?"))</f>
        <v/>
      </c>
      <c r="G513" s="24" t="n">
        <f aca="false">IF(OR($B513="",$C513=""),0,IFERROR($C513*E513/IF(OR(F513="kg",F513="L"),1000,1),0))</f>
        <v>0</v>
      </c>
      <c r="H513" s="22" t="str">
        <f aca="false">IF(AND($A513&lt;&gt;"",$A513='Fiche plat'!$C$3),COUNTIF($A$5:$A513,'Fiche plat'!$C$3),"")</f>
        <v/>
      </c>
      <c r="I513" s="0" t="str">
        <f aca="false">IF($A513="","",IFERROR(INDEX(Plats!$D$5:$D$48,MATCH($A513,Plats!$I$5:$I$48,0)),""))</f>
        <v/>
      </c>
    </row>
    <row r="514" customFormat="false" ht="15" hidden="false" customHeight="false" outlineLevel="0" collapsed="false">
      <c r="A514" s="36"/>
      <c r="B514" s="22"/>
      <c r="C514" s="35"/>
      <c r="D514" s="22" t="str">
        <f aca="false">IF($B514="","",IF(F514="kg","g",IF(F514="L","ml",F514)))</f>
        <v/>
      </c>
      <c r="E514" s="24" t="str">
        <f aca="false">IF($B514="","",IFERROR(INDEX('Liste des ingrédients'!$H$5:$H$98,MATCH($B514,'Liste des ingrédients'!$B$5:$B$98,0)),0))</f>
        <v/>
      </c>
      <c r="F514" s="22" t="str">
        <f aca="false">IF($B514="","",IFERROR(INDEX('Liste des ingrédients'!$G$5:$G$98,MATCH($B514,'Liste des ingrédients'!$B$5:$B$98,0)),"?"))</f>
        <v/>
      </c>
      <c r="G514" s="24" t="n">
        <f aca="false">IF(OR($B514="",$C514=""),0,IFERROR($C514*E514/IF(OR(F514="kg",F514="L"),1000,1),0))</f>
        <v>0</v>
      </c>
      <c r="H514" s="22" t="str">
        <f aca="false">IF(AND($A514&lt;&gt;"",$A514='Fiche plat'!$C$3),COUNTIF($A$5:$A514,'Fiche plat'!$C$3),"")</f>
        <v/>
      </c>
      <c r="I514" s="0" t="str">
        <f aca="false">IF($A514="","",IFERROR(INDEX(Plats!$D$5:$D$48,MATCH($A514,Plats!$I$5:$I$48,0)),""))</f>
        <v/>
      </c>
    </row>
    <row r="515" customFormat="false" ht="15" hidden="false" customHeight="false" outlineLevel="0" collapsed="false">
      <c r="A515" s="36"/>
      <c r="B515" s="22"/>
      <c r="C515" s="35"/>
      <c r="D515" s="22" t="str">
        <f aca="false">IF($B515="","",IF(F515="kg","g",IF(F515="L","ml",F515)))</f>
        <v/>
      </c>
      <c r="E515" s="24" t="str">
        <f aca="false">IF($B515="","",IFERROR(INDEX('Liste des ingrédients'!$H$5:$H$98,MATCH($B515,'Liste des ingrédients'!$B$5:$B$98,0)),0))</f>
        <v/>
      </c>
      <c r="F515" s="22" t="str">
        <f aca="false">IF($B515="","",IFERROR(INDEX('Liste des ingrédients'!$G$5:$G$98,MATCH($B515,'Liste des ingrédients'!$B$5:$B$98,0)),"?"))</f>
        <v/>
      </c>
      <c r="G515" s="24" t="n">
        <f aca="false">IF(OR($B515="",$C515=""),0,IFERROR($C515*E515/IF(OR(F515="kg",F515="L"),1000,1),0))</f>
        <v>0</v>
      </c>
      <c r="H515" s="22" t="str">
        <f aca="false">IF(AND($A515&lt;&gt;"",$A515='Fiche plat'!$C$3),COUNTIF($A$5:$A515,'Fiche plat'!$C$3),"")</f>
        <v/>
      </c>
      <c r="I515" s="0" t="str">
        <f aca="false">IF($A515="","",IFERROR(INDEX(Plats!$D$5:$D$48,MATCH($A515,Plats!$I$5:$I$48,0)),""))</f>
        <v/>
      </c>
    </row>
    <row r="516" customFormat="false" ht="15" hidden="false" customHeight="false" outlineLevel="0" collapsed="false">
      <c r="A516" s="36"/>
      <c r="B516" s="22"/>
      <c r="C516" s="35"/>
      <c r="D516" s="22" t="str">
        <f aca="false">IF($B516="","",IF(F516="kg","g",IF(F516="L","ml",F516)))</f>
        <v/>
      </c>
      <c r="E516" s="24" t="str">
        <f aca="false">IF($B516="","",IFERROR(INDEX('Liste des ingrédients'!$H$5:$H$98,MATCH($B516,'Liste des ingrédients'!$B$5:$B$98,0)),0))</f>
        <v/>
      </c>
      <c r="F516" s="22" t="str">
        <f aca="false">IF($B516="","",IFERROR(INDEX('Liste des ingrédients'!$G$5:$G$98,MATCH($B516,'Liste des ingrédients'!$B$5:$B$98,0)),"?"))</f>
        <v/>
      </c>
      <c r="G516" s="24" t="n">
        <f aca="false">IF(OR($B516="",$C516=""),0,IFERROR($C516*E516/IF(OR(F516="kg",F516="L"),1000,1),0))</f>
        <v>0</v>
      </c>
      <c r="H516" s="22" t="str">
        <f aca="false">IF(AND($A516&lt;&gt;"",$A516='Fiche plat'!$C$3),COUNTIF($A$5:$A516,'Fiche plat'!$C$3),"")</f>
        <v/>
      </c>
      <c r="I516" s="0" t="str">
        <f aca="false">IF($A516="","",IFERROR(INDEX(Plats!$D$5:$D$48,MATCH($A516,Plats!$I$5:$I$48,0)),""))</f>
        <v/>
      </c>
    </row>
    <row r="517" customFormat="false" ht="15" hidden="false" customHeight="false" outlineLevel="0" collapsed="false">
      <c r="A517" s="36"/>
      <c r="B517" s="22"/>
      <c r="C517" s="35"/>
      <c r="D517" s="22" t="str">
        <f aca="false">IF($B517="","",IF(F517="kg","g",IF(F517="L","ml",F517)))</f>
        <v/>
      </c>
      <c r="E517" s="24" t="str">
        <f aca="false">IF($B517="","",IFERROR(INDEX('Liste des ingrédients'!$H$5:$H$98,MATCH($B517,'Liste des ingrédients'!$B$5:$B$98,0)),0))</f>
        <v/>
      </c>
      <c r="F517" s="22" t="str">
        <f aca="false">IF($B517="","",IFERROR(INDEX('Liste des ingrédients'!$G$5:$G$98,MATCH($B517,'Liste des ingrédients'!$B$5:$B$98,0)),"?"))</f>
        <v/>
      </c>
      <c r="G517" s="24" t="n">
        <f aca="false">IF(OR($B517="",$C517=""),0,IFERROR($C517*E517/IF(OR(F517="kg",F517="L"),1000,1),0))</f>
        <v>0</v>
      </c>
      <c r="H517" s="22" t="str">
        <f aca="false">IF(AND($A517&lt;&gt;"",$A517='Fiche plat'!$C$3),COUNTIF($A$5:$A517,'Fiche plat'!$C$3),"")</f>
        <v/>
      </c>
      <c r="I517" s="0" t="str">
        <f aca="false">IF($A517="","",IFERROR(INDEX(Plats!$D$5:$D$48,MATCH($A517,Plats!$I$5:$I$48,0)),""))</f>
        <v/>
      </c>
    </row>
    <row r="518" customFormat="false" ht="15" hidden="false" customHeight="false" outlineLevel="0" collapsed="false">
      <c r="A518" s="36"/>
      <c r="B518" s="22"/>
      <c r="C518" s="35"/>
      <c r="D518" s="22" t="str">
        <f aca="false">IF($B518="","",IF(F518="kg","g",IF(F518="L","ml",F518)))</f>
        <v/>
      </c>
      <c r="E518" s="24" t="str">
        <f aca="false">IF($B518="","",IFERROR(INDEX('Liste des ingrédients'!$H$5:$H$98,MATCH($B518,'Liste des ingrédients'!$B$5:$B$98,0)),0))</f>
        <v/>
      </c>
      <c r="F518" s="22" t="str">
        <f aca="false">IF($B518="","",IFERROR(INDEX('Liste des ingrédients'!$G$5:$G$98,MATCH($B518,'Liste des ingrédients'!$B$5:$B$98,0)),"?"))</f>
        <v/>
      </c>
      <c r="G518" s="24" t="n">
        <f aca="false">IF(OR($B518="",$C518=""),0,IFERROR($C518*E518/IF(OR(F518="kg",F518="L"),1000,1),0))</f>
        <v>0</v>
      </c>
      <c r="H518" s="22" t="str">
        <f aca="false">IF(AND($A518&lt;&gt;"",$A518='Fiche plat'!$C$3),COUNTIF($A$5:$A518,'Fiche plat'!$C$3),"")</f>
        <v/>
      </c>
      <c r="I518" s="0" t="str">
        <f aca="false">IF($A518="","",IFERROR(INDEX(Plats!$D$5:$D$48,MATCH($A518,Plats!$I$5:$I$48,0)),""))</f>
        <v/>
      </c>
    </row>
    <row r="519" customFormat="false" ht="15" hidden="false" customHeight="false" outlineLevel="0" collapsed="false">
      <c r="A519" s="36"/>
      <c r="B519" s="22"/>
      <c r="C519" s="35"/>
      <c r="D519" s="22" t="str">
        <f aca="false">IF($B519="","",IF(F519="kg","g",IF(F519="L","ml",F519)))</f>
        <v/>
      </c>
      <c r="E519" s="24" t="str">
        <f aca="false">IF($B519="","",IFERROR(INDEX('Liste des ingrédients'!$H$5:$H$98,MATCH($B519,'Liste des ingrédients'!$B$5:$B$98,0)),0))</f>
        <v/>
      </c>
      <c r="F519" s="22" t="str">
        <f aca="false">IF($B519="","",IFERROR(INDEX('Liste des ingrédients'!$G$5:$G$98,MATCH($B519,'Liste des ingrédients'!$B$5:$B$98,0)),"?"))</f>
        <v/>
      </c>
      <c r="G519" s="24" t="n">
        <f aca="false">IF(OR($B519="",$C519=""),0,IFERROR($C519*E519/IF(OR(F519="kg",F519="L"),1000,1),0))</f>
        <v>0</v>
      </c>
      <c r="H519" s="22" t="str">
        <f aca="false">IF(AND($A519&lt;&gt;"",$A519='Fiche plat'!$C$3),COUNTIF($A$5:$A519,'Fiche plat'!$C$3),"")</f>
        <v/>
      </c>
      <c r="I519" s="0" t="str">
        <f aca="false">IF($A519="","",IFERROR(INDEX(Plats!$D$5:$D$48,MATCH($A519,Plats!$I$5:$I$48,0)),""))</f>
        <v/>
      </c>
    </row>
    <row r="520" customFormat="false" ht="15" hidden="false" customHeight="false" outlineLevel="0" collapsed="false">
      <c r="A520" s="36"/>
      <c r="B520" s="22"/>
      <c r="C520" s="35"/>
      <c r="D520" s="22" t="str">
        <f aca="false">IF($B520="","",IF(F520="kg","g",IF(F520="L","ml",F520)))</f>
        <v/>
      </c>
      <c r="E520" s="24" t="str">
        <f aca="false">IF($B520="","",IFERROR(INDEX('Liste des ingrédients'!$H$5:$H$98,MATCH($B520,'Liste des ingrédients'!$B$5:$B$98,0)),0))</f>
        <v/>
      </c>
      <c r="F520" s="22" t="str">
        <f aca="false">IF($B520="","",IFERROR(INDEX('Liste des ingrédients'!$G$5:$G$98,MATCH($B520,'Liste des ingrédients'!$B$5:$B$98,0)),"?"))</f>
        <v/>
      </c>
      <c r="G520" s="24" t="n">
        <f aca="false">IF(OR($B520="",$C520=""),0,IFERROR($C520*E520/IF(OR(F520="kg",F520="L"),1000,1),0))</f>
        <v>0</v>
      </c>
      <c r="H520" s="22" t="str">
        <f aca="false">IF(AND($A520&lt;&gt;"",$A520='Fiche plat'!$C$3),COUNTIF($A$5:$A520,'Fiche plat'!$C$3),"")</f>
        <v/>
      </c>
      <c r="I520" s="0" t="str">
        <f aca="false">IF($A520="","",IFERROR(INDEX(Plats!$D$5:$D$48,MATCH($A520,Plats!$I$5:$I$48,0)),""))</f>
        <v/>
      </c>
    </row>
    <row r="521" customFormat="false" ht="15" hidden="false" customHeight="false" outlineLevel="0" collapsed="false">
      <c r="A521" s="36"/>
      <c r="B521" s="22"/>
      <c r="C521" s="35"/>
      <c r="D521" s="22" t="str">
        <f aca="false">IF($B521="","",IF(F521="kg","g",IF(F521="L","ml",F521)))</f>
        <v/>
      </c>
      <c r="E521" s="24" t="str">
        <f aca="false">IF($B521="","",IFERROR(INDEX('Liste des ingrédients'!$H$5:$H$98,MATCH($B521,'Liste des ingrédients'!$B$5:$B$98,0)),0))</f>
        <v/>
      </c>
      <c r="F521" s="22" t="str">
        <f aca="false">IF($B521="","",IFERROR(INDEX('Liste des ingrédients'!$G$5:$G$98,MATCH($B521,'Liste des ingrédients'!$B$5:$B$98,0)),"?"))</f>
        <v/>
      </c>
      <c r="G521" s="24" t="n">
        <f aca="false">IF(OR($B521="",$C521=""),0,IFERROR($C521*E521/IF(OR(F521="kg",F521="L"),1000,1),0))</f>
        <v>0</v>
      </c>
      <c r="H521" s="22" t="str">
        <f aca="false">IF(AND($A521&lt;&gt;"",$A521='Fiche plat'!$C$3),COUNTIF($A$5:$A521,'Fiche plat'!$C$3),"")</f>
        <v/>
      </c>
      <c r="I521" s="0" t="str">
        <f aca="false">IF($A521="","",IFERROR(INDEX(Plats!$D$5:$D$48,MATCH($A521,Plats!$I$5:$I$48,0)),""))</f>
        <v/>
      </c>
    </row>
    <row r="522" customFormat="false" ht="15" hidden="false" customHeight="false" outlineLevel="0" collapsed="false">
      <c r="A522" s="36"/>
      <c r="B522" s="22"/>
      <c r="C522" s="35"/>
      <c r="D522" s="22" t="str">
        <f aca="false">IF($B522="","",IF(F522="kg","g",IF(F522="L","ml",F522)))</f>
        <v/>
      </c>
      <c r="E522" s="24" t="str">
        <f aca="false">IF($B522="","",IFERROR(INDEX('Liste des ingrédients'!$H$5:$H$98,MATCH($B522,'Liste des ingrédients'!$B$5:$B$98,0)),0))</f>
        <v/>
      </c>
      <c r="F522" s="22" t="str">
        <f aca="false">IF($B522="","",IFERROR(INDEX('Liste des ingrédients'!$G$5:$G$98,MATCH($B522,'Liste des ingrédients'!$B$5:$B$98,0)),"?"))</f>
        <v/>
      </c>
      <c r="G522" s="24" t="n">
        <f aca="false">IF(OR($B522="",$C522=""),0,IFERROR($C522*E522/IF(OR(F522="kg",F522="L"),1000,1),0))</f>
        <v>0</v>
      </c>
      <c r="H522" s="22" t="str">
        <f aca="false">IF(AND($A522&lt;&gt;"",$A522='Fiche plat'!$C$3),COUNTIF($A$5:$A522,'Fiche plat'!$C$3),"")</f>
        <v/>
      </c>
      <c r="I522" s="0" t="str">
        <f aca="false">IF($A522="","",IFERROR(INDEX(Plats!$D$5:$D$48,MATCH($A522,Plats!$I$5:$I$48,0)),""))</f>
        <v/>
      </c>
    </row>
    <row r="523" customFormat="false" ht="15" hidden="false" customHeight="false" outlineLevel="0" collapsed="false">
      <c r="A523" s="36"/>
      <c r="B523" s="22"/>
      <c r="C523" s="35"/>
      <c r="D523" s="22" t="str">
        <f aca="false">IF($B523="","",IF(F523="kg","g",IF(F523="L","ml",F523)))</f>
        <v/>
      </c>
      <c r="E523" s="24" t="str">
        <f aca="false">IF($B523="","",IFERROR(INDEX('Liste des ingrédients'!$H$5:$H$98,MATCH($B523,'Liste des ingrédients'!$B$5:$B$98,0)),0))</f>
        <v/>
      </c>
      <c r="F523" s="22" t="str">
        <f aca="false">IF($B523="","",IFERROR(INDEX('Liste des ingrédients'!$G$5:$G$98,MATCH($B523,'Liste des ingrédients'!$B$5:$B$98,0)),"?"))</f>
        <v/>
      </c>
      <c r="G523" s="24" t="n">
        <f aca="false">IF(OR($B523="",$C523=""),0,IFERROR($C523*E523/IF(OR(F523="kg",F523="L"),1000,1),0))</f>
        <v>0</v>
      </c>
      <c r="H523" s="22" t="str">
        <f aca="false">IF(AND($A523&lt;&gt;"",$A523='Fiche plat'!$C$3),COUNTIF($A$5:$A523,'Fiche plat'!$C$3),"")</f>
        <v/>
      </c>
      <c r="I523" s="0" t="str">
        <f aca="false">IF($A523="","",IFERROR(INDEX(Plats!$D$5:$D$48,MATCH($A523,Plats!$I$5:$I$48,0)),""))</f>
        <v/>
      </c>
    </row>
    <row r="524" customFormat="false" ht="15" hidden="false" customHeight="false" outlineLevel="0" collapsed="false">
      <c r="A524" s="36"/>
      <c r="B524" s="22"/>
      <c r="C524" s="35"/>
      <c r="D524" s="22" t="str">
        <f aca="false">IF($B524="","",IF(F524="kg","g",IF(F524="L","ml",F524)))</f>
        <v/>
      </c>
      <c r="E524" s="24" t="str">
        <f aca="false">IF($B524="","",IFERROR(INDEX('Liste des ingrédients'!$H$5:$H$98,MATCH($B524,'Liste des ingrédients'!$B$5:$B$98,0)),0))</f>
        <v/>
      </c>
      <c r="F524" s="22" t="str">
        <f aca="false">IF($B524="","",IFERROR(INDEX('Liste des ingrédients'!$G$5:$G$98,MATCH($B524,'Liste des ingrédients'!$B$5:$B$98,0)),"?"))</f>
        <v/>
      </c>
      <c r="G524" s="24" t="n">
        <f aca="false">IF(OR($B524="",$C524=""),0,IFERROR($C524*E524/IF(OR(F524="kg",F524="L"),1000,1),0))</f>
        <v>0</v>
      </c>
      <c r="H524" s="22" t="str">
        <f aca="false">IF(AND($A524&lt;&gt;"",$A524='Fiche plat'!$C$3),COUNTIF($A$5:$A524,'Fiche plat'!$C$3),"")</f>
        <v/>
      </c>
      <c r="I524" s="0" t="str">
        <f aca="false">IF($A524="","",IFERROR(INDEX(Plats!$D$5:$D$48,MATCH($A524,Plats!$I$5:$I$48,0)),""))</f>
        <v/>
      </c>
    </row>
    <row r="525" customFormat="false" ht="15" hidden="false" customHeight="false" outlineLevel="0" collapsed="false">
      <c r="A525" s="36"/>
      <c r="B525" s="22"/>
      <c r="C525" s="35"/>
      <c r="D525" s="22" t="str">
        <f aca="false">IF($B525="","",IF(F525="kg","g",IF(F525="L","ml",F525)))</f>
        <v/>
      </c>
      <c r="E525" s="24" t="str">
        <f aca="false">IF($B525="","",IFERROR(INDEX('Liste des ingrédients'!$H$5:$H$98,MATCH($B525,'Liste des ingrédients'!$B$5:$B$98,0)),0))</f>
        <v/>
      </c>
      <c r="F525" s="22" t="str">
        <f aca="false">IF($B525="","",IFERROR(INDEX('Liste des ingrédients'!$G$5:$G$98,MATCH($B525,'Liste des ingrédients'!$B$5:$B$98,0)),"?"))</f>
        <v/>
      </c>
      <c r="G525" s="24" t="n">
        <f aca="false">IF(OR($B525="",$C525=""),0,IFERROR($C525*E525/IF(OR(F525="kg",F525="L"),1000,1),0))</f>
        <v>0</v>
      </c>
      <c r="H525" s="22" t="str">
        <f aca="false">IF(AND($A525&lt;&gt;"",$A525='Fiche plat'!$C$3),COUNTIF($A$5:$A525,'Fiche plat'!$C$3),"")</f>
        <v/>
      </c>
      <c r="I525" s="0" t="str">
        <f aca="false">IF($A525="","",IFERROR(INDEX(Plats!$D$5:$D$48,MATCH($A525,Plats!$I$5:$I$48,0)),""))</f>
        <v/>
      </c>
    </row>
    <row r="526" customFormat="false" ht="15" hidden="false" customHeight="false" outlineLevel="0" collapsed="false">
      <c r="A526" s="36"/>
      <c r="B526" s="22"/>
      <c r="C526" s="35"/>
      <c r="D526" s="22" t="str">
        <f aca="false">IF($B526="","",IF(F526="kg","g",IF(F526="L","ml",F526)))</f>
        <v/>
      </c>
      <c r="E526" s="24" t="str">
        <f aca="false">IF($B526="","",IFERROR(INDEX('Liste des ingrédients'!$H$5:$H$98,MATCH($B526,'Liste des ingrédients'!$B$5:$B$98,0)),0))</f>
        <v/>
      </c>
      <c r="F526" s="22" t="str">
        <f aca="false">IF($B526="","",IFERROR(INDEX('Liste des ingrédients'!$G$5:$G$98,MATCH($B526,'Liste des ingrédients'!$B$5:$B$98,0)),"?"))</f>
        <v/>
      </c>
      <c r="G526" s="24" t="n">
        <f aca="false">IF(OR($B526="",$C526=""),0,IFERROR($C526*E526/IF(OR(F526="kg",F526="L"),1000,1),0))</f>
        <v>0</v>
      </c>
      <c r="H526" s="22" t="str">
        <f aca="false">IF(AND($A526&lt;&gt;"",$A526='Fiche plat'!$C$3),COUNTIF($A$5:$A526,'Fiche plat'!$C$3),"")</f>
        <v/>
      </c>
      <c r="I526" s="0" t="str">
        <f aca="false">IF($A526="","",IFERROR(INDEX(Plats!$D$5:$D$48,MATCH($A526,Plats!$I$5:$I$48,0)),""))</f>
        <v/>
      </c>
    </row>
    <row r="527" customFormat="false" ht="15" hidden="false" customHeight="false" outlineLevel="0" collapsed="false">
      <c r="A527" s="36"/>
      <c r="B527" s="22"/>
      <c r="C527" s="35"/>
      <c r="D527" s="22" t="str">
        <f aca="false">IF($B527="","",IF(F527="kg","g",IF(F527="L","ml",F527)))</f>
        <v/>
      </c>
      <c r="E527" s="24" t="str">
        <f aca="false">IF($B527="","",IFERROR(INDEX('Liste des ingrédients'!$H$5:$H$98,MATCH($B527,'Liste des ingrédients'!$B$5:$B$98,0)),0))</f>
        <v/>
      </c>
      <c r="F527" s="22" t="str">
        <f aca="false">IF($B527="","",IFERROR(INDEX('Liste des ingrédients'!$G$5:$G$98,MATCH($B527,'Liste des ingrédients'!$B$5:$B$98,0)),"?"))</f>
        <v/>
      </c>
      <c r="G527" s="24" t="n">
        <f aca="false">IF(OR($B527="",$C527=""),0,IFERROR($C527*E527/IF(OR(F527="kg",F527="L"),1000,1),0))</f>
        <v>0</v>
      </c>
      <c r="H527" s="22" t="str">
        <f aca="false">IF(AND($A527&lt;&gt;"",$A527='Fiche plat'!$C$3),COUNTIF($A$5:$A527,'Fiche plat'!$C$3),"")</f>
        <v/>
      </c>
      <c r="I527" s="0" t="str">
        <f aca="false">IF($A527="","",IFERROR(INDEX(Plats!$D$5:$D$48,MATCH($A527,Plats!$I$5:$I$48,0)),""))</f>
        <v/>
      </c>
    </row>
    <row r="528" customFormat="false" ht="15" hidden="false" customHeight="false" outlineLevel="0" collapsed="false">
      <c r="A528" s="36"/>
      <c r="B528" s="22"/>
      <c r="C528" s="35"/>
      <c r="D528" s="22" t="str">
        <f aca="false">IF($B528="","",IF(F528="kg","g",IF(F528="L","ml",F528)))</f>
        <v/>
      </c>
      <c r="E528" s="24" t="str">
        <f aca="false">IF($B528="","",IFERROR(INDEX('Liste des ingrédients'!$H$5:$H$98,MATCH($B528,'Liste des ingrédients'!$B$5:$B$98,0)),0))</f>
        <v/>
      </c>
      <c r="F528" s="22" t="str">
        <f aca="false">IF($B528="","",IFERROR(INDEX('Liste des ingrédients'!$G$5:$G$98,MATCH($B528,'Liste des ingrédients'!$B$5:$B$98,0)),"?"))</f>
        <v/>
      </c>
      <c r="G528" s="24" t="n">
        <f aca="false">IF(OR($B528="",$C528=""),0,IFERROR($C528*E528/IF(OR(F528="kg",F528="L"),1000,1),0))</f>
        <v>0</v>
      </c>
      <c r="H528" s="22" t="str">
        <f aca="false">IF(AND($A528&lt;&gt;"",$A528='Fiche plat'!$C$3),COUNTIF($A$5:$A528,'Fiche plat'!$C$3),"")</f>
        <v/>
      </c>
      <c r="I528" s="0" t="str">
        <f aca="false">IF($A528="","",IFERROR(INDEX(Plats!$D$5:$D$48,MATCH($A528,Plats!$I$5:$I$48,0)),""))</f>
        <v/>
      </c>
    </row>
    <row r="529" customFormat="false" ht="15" hidden="false" customHeight="false" outlineLevel="0" collapsed="false">
      <c r="A529" s="36"/>
      <c r="B529" s="22"/>
      <c r="C529" s="35"/>
      <c r="D529" s="22" t="str">
        <f aca="false">IF($B529="","",IF(F529="kg","g",IF(F529="L","ml",F529)))</f>
        <v/>
      </c>
      <c r="E529" s="24" t="str">
        <f aca="false">IF($B529="","",IFERROR(INDEX('Liste des ingrédients'!$H$5:$H$98,MATCH($B529,'Liste des ingrédients'!$B$5:$B$98,0)),0))</f>
        <v/>
      </c>
      <c r="F529" s="22" t="str">
        <f aca="false">IF($B529="","",IFERROR(INDEX('Liste des ingrédients'!$G$5:$G$98,MATCH($B529,'Liste des ingrédients'!$B$5:$B$98,0)),"?"))</f>
        <v/>
      </c>
      <c r="G529" s="24" t="n">
        <f aca="false">IF(OR($B529="",$C529=""),0,IFERROR($C529*E529/IF(OR(F529="kg",F529="L"),1000,1),0))</f>
        <v>0</v>
      </c>
      <c r="H529" s="22" t="str">
        <f aca="false">IF(AND($A529&lt;&gt;"",$A529='Fiche plat'!$C$3),COUNTIF($A$5:$A529,'Fiche plat'!$C$3),"")</f>
        <v/>
      </c>
      <c r="I529" s="0" t="str">
        <f aca="false">IF($A529="","",IFERROR(INDEX(Plats!$D$5:$D$48,MATCH($A529,Plats!$I$5:$I$48,0)),""))</f>
        <v/>
      </c>
    </row>
    <row r="530" customFormat="false" ht="15" hidden="false" customHeight="false" outlineLevel="0" collapsed="false">
      <c r="A530" s="36"/>
      <c r="B530" s="22"/>
      <c r="C530" s="35"/>
      <c r="D530" s="22" t="str">
        <f aca="false">IF($B530="","",IF(F530="kg","g",IF(F530="L","ml",F530)))</f>
        <v/>
      </c>
      <c r="E530" s="24" t="str">
        <f aca="false">IF($B530="","",IFERROR(INDEX('Liste des ingrédients'!$H$5:$H$98,MATCH($B530,'Liste des ingrédients'!$B$5:$B$98,0)),0))</f>
        <v/>
      </c>
      <c r="F530" s="22" t="str">
        <f aca="false">IF($B530="","",IFERROR(INDEX('Liste des ingrédients'!$G$5:$G$98,MATCH($B530,'Liste des ingrédients'!$B$5:$B$98,0)),"?"))</f>
        <v/>
      </c>
      <c r="G530" s="24" t="n">
        <f aca="false">IF(OR($B530="",$C530=""),0,IFERROR($C530*E530/IF(OR(F530="kg",F530="L"),1000,1),0))</f>
        <v>0</v>
      </c>
      <c r="H530" s="22" t="str">
        <f aca="false">IF(AND($A530&lt;&gt;"",$A530='Fiche plat'!$C$3),COUNTIF($A$5:$A530,'Fiche plat'!$C$3),"")</f>
        <v/>
      </c>
      <c r="I530" s="0" t="str">
        <f aca="false">IF($A530="","",IFERROR(INDEX(Plats!$D$5:$D$48,MATCH($A530,Plats!$I$5:$I$48,0)),""))</f>
        <v/>
      </c>
    </row>
    <row r="531" customFormat="false" ht="15" hidden="false" customHeight="false" outlineLevel="0" collapsed="false">
      <c r="A531" s="36"/>
      <c r="B531" s="22"/>
      <c r="C531" s="35"/>
      <c r="D531" s="22" t="str">
        <f aca="false">IF($B531="","",IF(F531="kg","g",IF(F531="L","ml",F531)))</f>
        <v/>
      </c>
      <c r="E531" s="24" t="str">
        <f aca="false">IF($B531="","",IFERROR(INDEX('Liste des ingrédients'!$H$5:$H$98,MATCH($B531,'Liste des ingrédients'!$B$5:$B$98,0)),0))</f>
        <v/>
      </c>
      <c r="F531" s="22" t="str">
        <f aca="false">IF($B531="","",IFERROR(INDEX('Liste des ingrédients'!$G$5:$G$98,MATCH($B531,'Liste des ingrédients'!$B$5:$B$98,0)),"?"))</f>
        <v/>
      </c>
      <c r="G531" s="24" t="n">
        <f aca="false">IF(OR($B531="",$C531=""),0,IFERROR($C531*E531/IF(OR(F531="kg",F531="L"),1000,1),0))</f>
        <v>0</v>
      </c>
      <c r="H531" s="22" t="str">
        <f aca="false">IF(AND($A531&lt;&gt;"",$A531='Fiche plat'!$C$3),COUNTIF($A$5:$A531,'Fiche plat'!$C$3),"")</f>
        <v/>
      </c>
      <c r="I531" s="0" t="str">
        <f aca="false">IF($A531="","",IFERROR(INDEX(Plats!$D$5:$D$48,MATCH($A531,Plats!$I$5:$I$48,0)),""))</f>
        <v/>
      </c>
    </row>
    <row r="532" customFormat="false" ht="15" hidden="false" customHeight="false" outlineLevel="0" collapsed="false">
      <c r="A532" s="36"/>
      <c r="B532" s="22"/>
      <c r="C532" s="35"/>
      <c r="D532" s="22" t="str">
        <f aca="false">IF($B532="","",IF(F532="kg","g",IF(F532="L","ml",F532)))</f>
        <v/>
      </c>
      <c r="E532" s="24" t="str">
        <f aca="false">IF($B532="","",IFERROR(INDEX('Liste des ingrédients'!$H$5:$H$98,MATCH($B532,'Liste des ingrédients'!$B$5:$B$98,0)),0))</f>
        <v/>
      </c>
      <c r="F532" s="22" t="str">
        <f aca="false">IF($B532="","",IFERROR(INDEX('Liste des ingrédients'!$G$5:$G$98,MATCH($B532,'Liste des ingrédients'!$B$5:$B$98,0)),"?"))</f>
        <v/>
      </c>
      <c r="G532" s="24" t="n">
        <f aca="false">IF(OR($B532="",$C532=""),0,IFERROR($C532*E532/IF(OR(F532="kg",F532="L"),1000,1),0))</f>
        <v>0</v>
      </c>
      <c r="H532" s="22" t="str">
        <f aca="false">IF(AND($A532&lt;&gt;"",$A532='Fiche plat'!$C$3),COUNTIF($A$5:$A532,'Fiche plat'!$C$3),"")</f>
        <v/>
      </c>
      <c r="I532" s="0" t="str">
        <f aca="false">IF($A532="","",IFERROR(INDEX(Plats!$D$5:$D$48,MATCH($A532,Plats!$I$5:$I$48,0)),""))</f>
        <v/>
      </c>
    </row>
    <row r="533" customFormat="false" ht="15" hidden="false" customHeight="false" outlineLevel="0" collapsed="false">
      <c r="A533" s="36"/>
      <c r="B533" s="22"/>
      <c r="C533" s="35"/>
      <c r="D533" s="22" t="str">
        <f aca="false">IF($B533="","",IF(F533="kg","g",IF(F533="L","ml",F533)))</f>
        <v/>
      </c>
      <c r="E533" s="24" t="str">
        <f aca="false">IF($B533="","",IFERROR(INDEX('Liste des ingrédients'!$H$5:$H$98,MATCH($B533,'Liste des ingrédients'!$B$5:$B$98,0)),0))</f>
        <v/>
      </c>
      <c r="F533" s="22" t="str">
        <f aca="false">IF($B533="","",IFERROR(INDEX('Liste des ingrédients'!$G$5:$G$98,MATCH($B533,'Liste des ingrédients'!$B$5:$B$98,0)),"?"))</f>
        <v/>
      </c>
      <c r="G533" s="24" t="n">
        <f aca="false">IF(OR($B533="",$C533=""),0,IFERROR($C533*E533/IF(OR(F533="kg",F533="L"),1000,1),0))</f>
        <v>0</v>
      </c>
      <c r="H533" s="22" t="str">
        <f aca="false">IF(AND($A533&lt;&gt;"",$A533='Fiche plat'!$C$3),COUNTIF($A$5:$A533,'Fiche plat'!$C$3),"")</f>
        <v/>
      </c>
      <c r="I533" s="0" t="str">
        <f aca="false">IF($A533="","",IFERROR(INDEX(Plats!$D$5:$D$48,MATCH($A533,Plats!$I$5:$I$48,0)),""))</f>
        <v/>
      </c>
    </row>
    <row r="534" customFormat="false" ht="15" hidden="false" customHeight="false" outlineLevel="0" collapsed="false">
      <c r="A534" s="36"/>
      <c r="B534" s="22"/>
      <c r="C534" s="35"/>
      <c r="D534" s="22" t="str">
        <f aca="false">IF($B534="","",IF(F534="kg","g",IF(F534="L","ml",F534)))</f>
        <v/>
      </c>
      <c r="E534" s="24" t="str">
        <f aca="false">IF($B534="","",IFERROR(INDEX('Liste des ingrédients'!$H$5:$H$98,MATCH($B534,'Liste des ingrédients'!$B$5:$B$98,0)),0))</f>
        <v/>
      </c>
      <c r="F534" s="22" t="str">
        <f aca="false">IF($B534="","",IFERROR(INDEX('Liste des ingrédients'!$G$5:$G$98,MATCH($B534,'Liste des ingrédients'!$B$5:$B$98,0)),"?"))</f>
        <v/>
      </c>
      <c r="G534" s="24" t="n">
        <f aca="false">IF(OR($B534="",$C534=""),0,IFERROR($C534*E534/IF(OR(F534="kg",F534="L"),1000,1),0))</f>
        <v>0</v>
      </c>
      <c r="H534" s="22" t="str">
        <f aca="false">IF(AND($A534&lt;&gt;"",$A534='Fiche plat'!$C$3),COUNTIF($A$5:$A534,'Fiche plat'!$C$3),"")</f>
        <v/>
      </c>
      <c r="I534" s="0" t="str">
        <f aca="false">IF($A534="","",IFERROR(INDEX(Plats!$D$5:$D$48,MATCH($A534,Plats!$I$5:$I$48,0)),""))</f>
        <v/>
      </c>
    </row>
    <row r="535" customFormat="false" ht="15" hidden="false" customHeight="false" outlineLevel="0" collapsed="false">
      <c r="A535" s="36"/>
      <c r="B535" s="22"/>
      <c r="C535" s="35"/>
      <c r="D535" s="22" t="str">
        <f aca="false">IF($B535="","",IF(F535="kg","g",IF(F535="L","ml",F535)))</f>
        <v/>
      </c>
      <c r="E535" s="24" t="str">
        <f aca="false">IF($B535="","",IFERROR(INDEX('Liste des ingrédients'!$H$5:$H$98,MATCH($B535,'Liste des ingrédients'!$B$5:$B$98,0)),0))</f>
        <v/>
      </c>
      <c r="F535" s="22" t="str">
        <f aca="false">IF($B535="","",IFERROR(INDEX('Liste des ingrédients'!$G$5:$G$98,MATCH($B535,'Liste des ingrédients'!$B$5:$B$98,0)),"?"))</f>
        <v/>
      </c>
      <c r="G535" s="24" t="n">
        <f aca="false">IF(OR($B535="",$C535=""),0,IFERROR($C535*E535/IF(OR(F535="kg",F535="L"),1000,1),0))</f>
        <v>0</v>
      </c>
      <c r="H535" s="22" t="str">
        <f aca="false">IF(AND($A535&lt;&gt;"",$A535='Fiche plat'!$C$3),COUNTIF($A$5:$A535,'Fiche plat'!$C$3),"")</f>
        <v/>
      </c>
      <c r="I535" s="0" t="str">
        <f aca="false">IF($A535="","",IFERROR(INDEX(Plats!$D$5:$D$48,MATCH($A535,Plats!$I$5:$I$48,0)),""))</f>
        <v/>
      </c>
    </row>
    <row r="536" customFormat="false" ht="15" hidden="false" customHeight="false" outlineLevel="0" collapsed="false">
      <c r="A536" s="36"/>
      <c r="B536" s="22"/>
      <c r="C536" s="35"/>
      <c r="D536" s="22" t="str">
        <f aca="false">IF($B536="","",IF(F536="kg","g",IF(F536="L","ml",F536)))</f>
        <v/>
      </c>
      <c r="E536" s="24" t="str">
        <f aca="false">IF($B536="","",IFERROR(INDEX('Liste des ingrédients'!$H$5:$H$98,MATCH($B536,'Liste des ingrédients'!$B$5:$B$98,0)),0))</f>
        <v/>
      </c>
      <c r="F536" s="22" t="str">
        <f aca="false">IF($B536="","",IFERROR(INDEX('Liste des ingrédients'!$G$5:$G$98,MATCH($B536,'Liste des ingrédients'!$B$5:$B$98,0)),"?"))</f>
        <v/>
      </c>
      <c r="G536" s="24" t="n">
        <f aca="false">IF(OR($B536="",$C536=""),0,IFERROR($C536*E536/IF(OR(F536="kg",F536="L"),1000,1),0))</f>
        <v>0</v>
      </c>
      <c r="H536" s="22" t="str">
        <f aca="false">IF(AND($A536&lt;&gt;"",$A536='Fiche plat'!$C$3),COUNTIF($A$5:$A536,'Fiche plat'!$C$3),"")</f>
        <v/>
      </c>
      <c r="I536" s="0" t="str">
        <f aca="false">IF($A536="","",IFERROR(INDEX(Plats!$D$5:$D$48,MATCH($A536,Plats!$I$5:$I$48,0)),""))</f>
        <v/>
      </c>
    </row>
    <row r="537" customFormat="false" ht="15" hidden="false" customHeight="false" outlineLevel="0" collapsed="false">
      <c r="A537" s="36"/>
      <c r="B537" s="22"/>
      <c r="C537" s="35"/>
      <c r="D537" s="22" t="str">
        <f aca="false">IF($B537="","",IF(F537="kg","g",IF(F537="L","ml",F537)))</f>
        <v/>
      </c>
      <c r="E537" s="24" t="str">
        <f aca="false">IF($B537="","",IFERROR(INDEX('Liste des ingrédients'!$H$5:$H$98,MATCH($B537,'Liste des ingrédients'!$B$5:$B$98,0)),0))</f>
        <v/>
      </c>
      <c r="F537" s="22" t="str">
        <f aca="false">IF($B537="","",IFERROR(INDEX('Liste des ingrédients'!$G$5:$G$98,MATCH($B537,'Liste des ingrédients'!$B$5:$B$98,0)),"?"))</f>
        <v/>
      </c>
      <c r="G537" s="24" t="n">
        <f aca="false">IF(OR($B537="",$C537=""),0,IFERROR($C537*E537/IF(OR(F537="kg",F537="L"),1000,1),0))</f>
        <v>0</v>
      </c>
      <c r="H537" s="22" t="str">
        <f aca="false">IF(AND($A537&lt;&gt;"",$A537='Fiche plat'!$C$3),COUNTIF($A$5:$A537,'Fiche plat'!$C$3),"")</f>
        <v/>
      </c>
      <c r="I537" s="0" t="str">
        <f aca="false">IF($A537="","",IFERROR(INDEX(Plats!$D$5:$D$48,MATCH($A537,Plats!$I$5:$I$48,0)),""))</f>
        <v/>
      </c>
    </row>
    <row r="538" customFormat="false" ht="15" hidden="false" customHeight="false" outlineLevel="0" collapsed="false">
      <c r="A538" s="36"/>
      <c r="B538" s="22"/>
      <c r="C538" s="35"/>
      <c r="D538" s="22" t="str">
        <f aca="false">IF($B538="","",IF(F538="kg","g",IF(F538="L","ml",F538)))</f>
        <v/>
      </c>
      <c r="E538" s="24" t="str">
        <f aca="false">IF($B538="","",IFERROR(INDEX('Liste des ingrédients'!$H$5:$H$98,MATCH($B538,'Liste des ingrédients'!$B$5:$B$98,0)),0))</f>
        <v/>
      </c>
      <c r="F538" s="22" t="str">
        <f aca="false">IF($B538="","",IFERROR(INDEX('Liste des ingrédients'!$G$5:$G$98,MATCH($B538,'Liste des ingrédients'!$B$5:$B$98,0)),"?"))</f>
        <v/>
      </c>
      <c r="G538" s="24" t="n">
        <f aca="false">IF(OR($B538="",$C538=""),0,IFERROR($C538*E538/IF(OR(F538="kg",F538="L"),1000,1),0))</f>
        <v>0</v>
      </c>
      <c r="H538" s="22" t="str">
        <f aca="false">IF(AND($A538&lt;&gt;"",$A538='Fiche plat'!$C$3),COUNTIF($A$5:$A538,'Fiche plat'!$C$3),"")</f>
        <v/>
      </c>
      <c r="I538" s="0" t="str">
        <f aca="false">IF($A538="","",IFERROR(INDEX(Plats!$D$5:$D$48,MATCH($A538,Plats!$I$5:$I$48,0)),""))</f>
        <v/>
      </c>
    </row>
    <row r="539" customFormat="false" ht="15" hidden="false" customHeight="false" outlineLevel="0" collapsed="false">
      <c r="A539" s="36"/>
      <c r="B539" s="22"/>
      <c r="C539" s="35"/>
      <c r="D539" s="22" t="str">
        <f aca="false">IF($B539="","",IF(F539="kg","g",IF(F539="L","ml",F539)))</f>
        <v/>
      </c>
      <c r="E539" s="24" t="str">
        <f aca="false">IF($B539="","",IFERROR(INDEX('Liste des ingrédients'!$H$5:$H$98,MATCH($B539,'Liste des ingrédients'!$B$5:$B$98,0)),0))</f>
        <v/>
      </c>
      <c r="F539" s="22" t="str">
        <f aca="false">IF($B539="","",IFERROR(INDEX('Liste des ingrédients'!$G$5:$G$98,MATCH($B539,'Liste des ingrédients'!$B$5:$B$98,0)),"?"))</f>
        <v/>
      </c>
      <c r="G539" s="24" t="n">
        <f aca="false">IF(OR($B539="",$C539=""),0,IFERROR($C539*E539/IF(OR(F539="kg",F539="L"),1000,1),0))</f>
        <v>0</v>
      </c>
      <c r="H539" s="22" t="str">
        <f aca="false">IF(AND($A539&lt;&gt;"",$A539='Fiche plat'!$C$3),COUNTIF($A$5:$A539,'Fiche plat'!$C$3),"")</f>
        <v/>
      </c>
      <c r="I539" s="0" t="str">
        <f aca="false">IF($A539="","",IFERROR(INDEX(Plats!$D$5:$D$48,MATCH($A539,Plats!$I$5:$I$48,0)),""))</f>
        <v/>
      </c>
    </row>
    <row r="540" customFormat="false" ht="15" hidden="false" customHeight="false" outlineLevel="0" collapsed="false">
      <c r="A540" s="36"/>
      <c r="B540" s="22"/>
      <c r="C540" s="35"/>
      <c r="D540" s="22" t="str">
        <f aca="false">IF($B540="","",IF(F540="kg","g",IF(F540="L","ml",F540)))</f>
        <v/>
      </c>
      <c r="E540" s="24" t="str">
        <f aca="false">IF($B540="","",IFERROR(INDEX('Liste des ingrédients'!$H$5:$H$98,MATCH($B540,'Liste des ingrédients'!$B$5:$B$98,0)),0))</f>
        <v/>
      </c>
      <c r="F540" s="22" t="str">
        <f aca="false">IF($B540="","",IFERROR(INDEX('Liste des ingrédients'!$G$5:$G$98,MATCH($B540,'Liste des ingrédients'!$B$5:$B$98,0)),"?"))</f>
        <v/>
      </c>
      <c r="G540" s="24" t="n">
        <f aca="false">IF(OR($B540="",$C540=""),0,IFERROR($C540*E540/IF(OR(F540="kg",F540="L"),1000,1),0))</f>
        <v>0</v>
      </c>
      <c r="H540" s="22" t="str">
        <f aca="false">IF(AND($A540&lt;&gt;"",$A540='Fiche plat'!$C$3),COUNTIF($A$5:$A540,'Fiche plat'!$C$3),"")</f>
        <v/>
      </c>
      <c r="I540" s="0" t="str">
        <f aca="false">IF($A540="","",IFERROR(INDEX(Plats!$D$5:$D$48,MATCH($A540,Plats!$I$5:$I$48,0)),""))</f>
        <v/>
      </c>
    </row>
    <row r="541" customFormat="false" ht="15" hidden="false" customHeight="false" outlineLevel="0" collapsed="false">
      <c r="A541" s="36"/>
      <c r="B541" s="22"/>
      <c r="C541" s="35"/>
      <c r="D541" s="22" t="str">
        <f aca="false">IF($B541="","",IF(F541="kg","g",IF(F541="L","ml",F541)))</f>
        <v/>
      </c>
      <c r="E541" s="24" t="str">
        <f aca="false">IF($B541="","",IFERROR(INDEX('Liste des ingrédients'!$H$5:$H$98,MATCH($B541,'Liste des ingrédients'!$B$5:$B$98,0)),0))</f>
        <v/>
      </c>
      <c r="F541" s="22" t="str">
        <f aca="false">IF($B541="","",IFERROR(INDEX('Liste des ingrédients'!$G$5:$G$98,MATCH($B541,'Liste des ingrédients'!$B$5:$B$98,0)),"?"))</f>
        <v/>
      </c>
      <c r="G541" s="24" t="n">
        <f aca="false">IF(OR($B541="",$C541=""),0,IFERROR($C541*E541/IF(OR(F541="kg",F541="L"),1000,1),0))</f>
        <v>0</v>
      </c>
      <c r="H541" s="22" t="str">
        <f aca="false">IF(AND($A541&lt;&gt;"",$A541='Fiche plat'!$C$3),COUNTIF($A$5:$A541,'Fiche plat'!$C$3),"")</f>
        <v/>
      </c>
      <c r="I541" s="0" t="str">
        <f aca="false">IF($A541="","",IFERROR(INDEX(Plats!$D$5:$D$48,MATCH($A541,Plats!$I$5:$I$48,0)),""))</f>
        <v/>
      </c>
    </row>
    <row r="542" customFormat="false" ht="15" hidden="false" customHeight="false" outlineLevel="0" collapsed="false">
      <c r="A542" s="36"/>
      <c r="B542" s="22"/>
      <c r="C542" s="35"/>
      <c r="D542" s="22" t="str">
        <f aca="false">IF($B542="","",IF(F542="kg","g",IF(F542="L","ml",F542)))</f>
        <v/>
      </c>
      <c r="E542" s="24" t="str">
        <f aca="false">IF($B542="","",IFERROR(INDEX('Liste des ingrédients'!$H$5:$H$98,MATCH($B542,'Liste des ingrédients'!$B$5:$B$98,0)),0))</f>
        <v/>
      </c>
      <c r="F542" s="22" t="str">
        <f aca="false">IF($B542="","",IFERROR(INDEX('Liste des ingrédients'!$G$5:$G$98,MATCH($B542,'Liste des ingrédients'!$B$5:$B$98,0)),"?"))</f>
        <v/>
      </c>
      <c r="G542" s="24" t="n">
        <f aca="false">IF(OR($B542="",$C542=""),0,IFERROR($C542*E542/IF(OR(F542="kg",F542="L"),1000,1),0))</f>
        <v>0</v>
      </c>
      <c r="H542" s="22" t="str">
        <f aca="false">IF(AND($A542&lt;&gt;"",$A542='Fiche plat'!$C$3),COUNTIF($A$5:$A542,'Fiche plat'!$C$3),"")</f>
        <v/>
      </c>
      <c r="I542" s="0" t="str">
        <f aca="false">IF($A542="","",IFERROR(INDEX(Plats!$D$5:$D$48,MATCH($A542,Plats!$I$5:$I$48,0)),""))</f>
        <v/>
      </c>
    </row>
    <row r="543" customFormat="false" ht="15" hidden="false" customHeight="false" outlineLevel="0" collapsed="false">
      <c r="A543" s="36"/>
      <c r="B543" s="22"/>
      <c r="C543" s="35"/>
      <c r="D543" s="22" t="str">
        <f aca="false">IF($B543="","",IF(F543="kg","g",IF(F543="L","ml",F543)))</f>
        <v/>
      </c>
      <c r="E543" s="24" t="str">
        <f aca="false">IF($B543="","",IFERROR(INDEX('Liste des ingrédients'!$H$5:$H$98,MATCH($B543,'Liste des ingrédients'!$B$5:$B$98,0)),0))</f>
        <v/>
      </c>
      <c r="F543" s="22" t="str">
        <f aca="false">IF($B543="","",IFERROR(INDEX('Liste des ingrédients'!$G$5:$G$98,MATCH($B543,'Liste des ingrédients'!$B$5:$B$98,0)),"?"))</f>
        <v/>
      </c>
      <c r="G543" s="24" t="n">
        <f aca="false">IF(OR($B543="",$C543=""),0,IFERROR($C543*E543/IF(OR(F543="kg",F543="L"),1000,1),0))</f>
        <v>0</v>
      </c>
      <c r="H543" s="22" t="str">
        <f aca="false">IF(AND($A543&lt;&gt;"",$A543='Fiche plat'!$C$3),COUNTIF($A$5:$A543,'Fiche plat'!$C$3),"")</f>
        <v/>
      </c>
      <c r="I543" s="0" t="str">
        <f aca="false">IF($A543="","",IFERROR(INDEX(Plats!$D$5:$D$48,MATCH($A543,Plats!$I$5:$I$48,0)),""))</f>
        <v/>
      </c>
    </row>
    <row r="544" customFormat="false" ht="15" hidden="false" customHeight="false" outlineLevel="0" collapsed="false">
      <c r="A544" s="36"/>
      <c r="B544" s="22"/>
      <c r="C544" s="35"/>
      <c r="D544" s="22" t="str">
        <f aca="false">IF($B544="","",IF(F544="kg","g",IF(F544="L","ml",F544)))</f>
        <v/>
      </c>
      <c r="E544" s="24" t="str">
        <f aca="false">IF($B544="","",IFERROR(INDEX('Liste des ingrédients'!$H$5:$H$98,MATCH($B544,'Liste des ingrédients'!$B$5:$B$98,0)),0))</f>
        <v/>
      </c>
      <c r="F544" s="22" t="str">
        <f aca="false">IF($B544="","",IFERROR(INDEX('Liste des ingrédients'!$G$5:$G$98,MATCH($B544,'Liste des ingrédients'!$B$5:$B$98,0)),"?"))</f>
        <v/>
      </c>
      <c r="G544" s="24" t="n">
        <f aca="false">IF(OR($B544="",$C544=""),0,IFERROR($C544*E544/IF(OR(F544="kg",F544="L"),1000,1),0))</f>
        <v>0</v>
      </c>
      <c r="H544" s="22" t="str">
        <f aca="false">IF(AND($A544&lt;&gt;"",$A544='Fiche plat'!$C$3),COUNTIF($A$5:$A544,'Fiche plat'!$C$3),"")</f>
        <v/>
      </c>
      <c r="I544" s="0" t="str">
        <f aca="false">IF($A544="","",IFERROR(INDEX(Plats!$D$5:$D$48,MATCH($A544,Plats!$I$5:$I$48,0)),""))</f>
        <v/>
      </c>
    </row>
    <row r="545" customFormat="false" ht="15" hidden="false" customHeight="false" outlineLevel="0" collapsed="false">
      <c r="A545" s="36"/>
      <c r="B545" s="22"/>
      <c r="C545" s="35"/>
      <c r="D545" s="22" t="str">
        <f aca="false">IF($B545="","",IF(F545="kg","g",IF(F545="L","ml",F545)))</f>
        <v/>
      </c>
      <c r="E545" s="24" t="str">
        <f aca="false">IF($B545="","",IFERROR(INDEX('Liste des ingrédients'!$H$5:$H$98,MATCH($B545,'Liste des ingrédients'!$B$5:$B$98,0)),0))</f>
        <v/>
      </c>
      <c r="F545" s="22" t="str">
        <f aca="false">IF($B545="","",IFERROR(INDEX('Liste des ingrédients'!$G$5:$G$98,MATCH($B545,'Liste des ingrédients'!$B$5:$B$98,0)),"?"))</f>
        <v/>
      </c>
      <c r="G545" s="24" t="n">
        <f aca="false">IF(OR($B545="",$C545=""),0,IFERROR($C545*E545/IF(OR(F545="kg",F545="L"),1000,1),0))</f>
        <v>0</v>
      </c>
      <c r="H545" s="22" t="str">
        <f aca="false">IF(AND($A545&lt;&gt;"",$A545='Fiche plat'!$C$3),COUNTIF($A$5:$A545,'Fiche plat'!$C$3),"")</f>
        <v/>
      </c>
      <c r="I545" s="0" t="str">
        <f aca="false">IF($A545="","",IFERROR(INDEX(Plats!$D$5:$D$48,MATCH($A545,Plats!$I$5:$I$48,0)),""))</f>
        <v/>
      </c>
    </row>
    <row r="546" customFormat="false" ht="15" hidden="false" customHeight="false" outlineLevel="0" collapsed="false">
      <c r="A546" s="36"/>
      <c r="B546" s="22"/>
      <c r="C546" s="35"/>
      <c r="D546" s="22" t="str">
        <f aca="false">IF($B546="","",IF(F546="kg","g",IF(F546="L","ml",F546)))</f>
        <v/>
      </c>
      <c r="E546" s="24" t="str">
        <f aca="false">IF($B546="","",IFERROR(INDEX('Liste des ingrédients'!$H$5:$H$98,MATCH($B546,'Liste des ingrédients'!$B$5:$B$98,0)),0))</f>
        <v/>
      </c>
      <c r="F546" s="22" t="str">
        <f aca="false">IF($B546="","",IFERROR(INDEX('Liste des ingrédients'!$G$5:$G$98,MATCH($B546,'Liste des ingrédients'!$B$5:$B$98,0)),"?"))</f>
        <v/>
      </c>
      <c r="G546" s="24" t="n">
        <f aca="false">IF(OR($B546="",$C546=""),0,IFERROR($C546*E546/IF(OR(F546="kg",F546="L"),1000,1),0))</f>
        <v>0</v>
      </c>
      <c r="H546" s="22" t="str">
        <f aca="false">IF(AND($A546&lt;&gt;"",$A546='Fiche plat'!$C$3),COUNTIF($A$5:$A546,'Fiche plat'!$C$3),"")</f>
        <v/>
      </c>
      <c r="I546" s="0" t="str">
        <f aca="false">IF($A546="","",IFERROR(INDEX(Plats!$D$5:$D$48,MATCH($A546,Plats!$I$5:$I$48,0)),""))</f>
        <v/>
      </c>
    </row>
    <row r="547" customFormat="false" ht="15" hidden="false" customHeight="false" outlineLevel="0" collapsed="false">
      <c r="A547" s="36"/>
      <c r="B547" s="22"/>
      <c r="C547" s="35"/>
      <c r="D547" s="22" t="str">
        <f aca="false">IF($B547="","",IF(F547="kg","g",IF(F547="L","ml",F547)))</f>
        <v/>
      </c>
      <c r="E547" s="24" t="str">
        <f aca="false">IF($B547="","",IFERROR(INDEX('Liste des ingrédients'!$H$5:$H$98,MATCH($B547,'Liste des ingrédients'!$B$5:$B$98,0)),0))</f>
        <v/>
      </c>
      <c r="F547" s="22" t="str">
        <f aca="false">IF($B547="","",IFERROR(INDEX('Liste des ingrédients'!$G$5:$G$98,MATCH($B547,'Liste des ingrédients'!$B$5:$B$98,0)),"?"))</f>
        <v/>
      </c>
      <c r="G547" s="24" t="n">
        <f aca="false">IF(OR($B547="",$C547=""),0,IFERROR($C547*E547/IF(OR(F547="kg",F547="L"),1000,1),0))</f>
        <v>0</v>
      </c>
      <c r="H547" s="22" t="str">
        <f aca="false">IF(AND($A547&lt;&gt;"",$A547='Fiche plat'!$C$3),COUNTIF($A$5:$A547,'Fiche plat'!$C$3),"")</f>
        <v/>
      </c>
      <c r="I547" s="0" t="str">
        <f aca="false">IF($A547="","",IFERROR(INDEX(Plats!$D$5:$D$48,MATCH($A547,Plats!$I$5:$I$48,0)),""))</f>
        <v/>
      </c>
    </row>
    <row r="548" customFormat="false" ht="15" hidden="false" customHeight="false" outlineLevel="0" collapsed="false">
      <c r="A548" s="36"/>
      <c r="B548" s="22"/>
      <c r="C548" s="35"/>
      <c r="D548" s="22" t="str">
        <f aca="false">IF($B548="","",IF(F548="kg","g",IF(F548="L","ml",F548)))</f>
        <v/>
      </c>
      <c r="E548" s="24" t="str">
        <f aca="false">IF($B548="","",IFERROR(INDEX('Liste des ingrédients'!$H$5:$H$98,MATCH($B548,'Liste des ingrédients'!$B$5:$B$98,0)),0))</f>
        <v/>
      </c>
      <c r="F548" s="22" t="str">
        <f aca="false">IF($B548="","",IFERROR(INDEX('Liste des ingrédients'!$G$5:$G$98,MATCH($B548,'Liste des ingrédients'!$B$5:$B$98,0)),"?"))</f>
        <v/>
      </c>
      <c r="G548" s="24" t="n">
        <f aca="false">IF(OR($B548="",$C548=""),0,IFERROR($C548*E548/IF(OR(F548="kg",F548="L"),1000,1),0))</f>
        <v>0</v>
      </c>
      <c r="H548" s="22" t="str">
        <f aca="false">IF(AND($A548&lt;&gt;"",$A548='Fiche plat'!$C$3),COUNTIF($A$5:$A548,'Fiche plat'!$C$3),"")</f>
        <v/>
      </c>
      <c r="I548" s="0" t="str">
        <f aca="false">IF($A548="","",IFERROR(INDEX(Plats!$D$5:$D$48,MATCH($A548,Plats!$I$5:$I$48,0)),""))</f>
        <v/>
      </c>
    </row>
    <row r="549" customFormat="false" ht="15" hidden="false" customHeight="false" outlineLevel="0" collapsed="false">
      <c r="A549" s="36"/>
      <c r="B549" s="22"/>
      <c r="C549" s="35"/>
      <c r="D549" s="22" t="str">
        <f aca="false">IF($B549="","",IF(F549="kg","g",IF(F549="L","ml",F549)))</f>
        <v/>
      </c>
      <c r="E549" s="24" t="str">
        <f aca="false">IF($B549="","",IFERROR(INDEX('Liste des ingrédients'!$H$5:$H$98,MATCH($B549,'Liste des ingrédients'!$B$5:$B$98,0)),0))</f>
        <v/>
      </c>
      <c r="F549" s="22" t="str">
        <f aca="false">IF($B549="","",IFERROR(INDEX('Liste des ingrédients'!$G$5:$G$98,MATCH($B549,'Liste des ingrédients'!$B$5:$B$98,0)),"?"))</f>
        <v/>
      </c>
      <c r="G549" s="24" t="n">
        <f aca="false">IF(OR($B549="",$C549=""),0,IFERROR($C549*E549/IF(OR(F549="kg",F549="L"),1000,1),0))</f>
        <v>0</v>
      </c>
      <c r="H549" s="22" t="str">
        <f aca="false">IF(AND($A549&lt;&gt;"",$A549='Fiche plat'!$C$3),COUNTIF($A$5:$A549,'Fiche plat'!$C$3),"")</f>
        <v/>
      </c>
      <c r="I549" s="0" t="str">
        <f aca="false">IF($A549="","",IFERROR(INDEX(Plats!$D$5:$D$48,MATCH($A549,Plats!$I$5:$I$48,0)),""))</f>
        <v/>
      </c>
    </row>
    <row r="550" customFormat="false" ht="15" hidden="false" customHeight="false" outlineLevel="0" collapsed="false">
      <c r="A550" s="36"/>
      <c r="B550" s="22"/>
      <c r="C550" s="35"/>
      <c r="D550" s="22" t="str">
        <f aca="false">IF($B550="","",IF(F550="kg","g",IF(F550="L","ml",F550)))</f>
        <v/>
      </c>
      <c r="E550" s="24" t="str">
        <f aca="false">IF($B550="","",IFERROR(INDEX('Liste des ingrédients'!$H$5:$H$98,MATCH($B550,'Liste des ingrédients'!$B$5:$B$98,0)),0))</f>
        <v/>
      </c>
      <c r="F550" s="22" t="str">
        <f aca="false">IF($B550="","",IFERROR(INDEX('Liste des ingrédients'!$G$5:$G$98,MATCH($B550,'Liste des ingrédients'!$B$5:$B$98,0)),"?"))</f>
        <v/>
      </c>
      <c r="G550" s="24" t="n">
        <f aca="false">IF(OR($B550="",$C550=""),0,IFERROR($C550*E550/IF(OR(F550="kg",F550="L"),1000,1),0))</f>
        <v>0</v>
      </c>
      <c r="H550" s="22" t="str">
        <f aca="false">IF(AND($A550&lt;&gt;"",$A550='Fiche plat'!$C$3),COUNTIF($A$5:$A550,'Fiche plat'!$C$3),"")</f>
        <v/>
      </c>
      <c r="I550" s="0" t="str">
        <f aca="false">IF($A550="","",IFERROR(INDEX(Plats!$D$5:$D$48,MATCH($A550,Plats!$I$5:$I$48,0)),""))</f>
        <v/>
      </c>
    </row>
    <row r="551" customFormat="false" ht="15" hidden="false" customHeight="false" outlineLevel="0" collapsed="false">
      <c r="A551" s="36"/>
      <c r="B551" s="22"/>
      <c r="C551" s="35"/>
      <c r="D551" s="22" t="str">
        <f aca="false">IF($B551="","",IF(F551="kg","g",IF(F551="L","ml",F551)))</f>
        <v/>
      </c>
      <c r="E551" s="24" t="str">
        <f aca="false">IF($B551="","",IFERROR(INDEX('Liste des ingrédients'!$H$5:$H$98,MATCH($B551,'Liste des ingrédients'!$B$5:$B$98,0)),0))</f>
        <v/>
      </c>
      <c r="F551" s="22" t="str">
        <f aca="false">IF($B551="","",IFERROR(INDEX('Liste des ingrédients'!$G$5:$G$98,MATCH($B551,'Liste des ingrédients'!$B$5:$B$98,0)),"?"))</f>
        <v/>
      </c>
      <c r="G551" s="24" t="n">
        <f aca="false">IF(OR($B551="",$C551=""),0,IFERROR($C551*E551/IF(OR(F551="kg",F551="L"),1000,1),0))</f>
        <v>0</v>
      </c>
      <c r="H551" s="22" t="str">
        <f aca="false">IF(AND($A551&lt;&gt;"",$A551='Fiche plat'!$C$3),COUNTIF($A$5:$A551,'Fiche plat'!$C$3),"")</f>
        <v/>
      </c>
      <c r="I551" s="0" t="str">
        <f aca="false">IF($A551="","",IFERROR(INDEX(Plats!$D$5:$D$48,MATCH($A551,Plats!$I$5:$I$48,0)),""))</f>
        <v/>
      </c>
    </row>
    <row r="552" customFormat="false" ht="15" hidden="false" customHeight="false" outlineLevel="0" collapsed="false">
      <c r="A552" s="36"/>
      <c r="B552" s="22"/>
      <c r="C552" s="35"/>
      <c r="D552" s="22" t="str">
        <f aca="false">IF($B552="","",IF(F552="kg","g",IF(F552="L","ml",F552)))</f>
        <v/>
      </c>
      <c r="E552" s="24" t="str">
        <f aca="false">IF($B552="","",IFERROR(INDEX('Liste des ingrédients'!$H$5:$H$98,MATCH($B552,'Liste des ingrédients'!$B$5:$B$98,0)),0))</f>
        <v/>
      </c>
      <c r="F552" s="22" t="str">
        <f aca="false">IF($B552="","",IFERROR(INDEX('Liste des ingrédients'!$G$5:$G$98,MATCH($B552,'Liste des ingrédients'!$B$5:$B$98,0)),"?"))</f>
        <v/>
      </c>
      <c r="G552" s="24" t="n">
        <f aca="false">IF(OR($B552="",$C552=""),0,IFERROR($C552*E552/IF(OR(F552="kg",F552="L"),1000,1),0))</f>
        <v>0</v>
      </c>
      <c r="H552" s="22" t="str">
        <f aca="false">IF(AND($A552&lt;&gt;"",$A552='Fiche plat'!$C$3),COUNTIF($A$5:$A552,'Fiche plat'!$C$3),"")</f>
        <v/>
      </c>
      <c r="I552" s="0" t="str">
        <f aca="false">IF($A552="","",IFERROR(INDEX(Plats!$D$5:$D$48,MATCH($A552,Plats!$I$5:$I$48,0)),""))</f>
        <v/>
      </c>
    </row>
    <row r="553" customFormat="false" ht="15" hidden="false" customHeight="false" outlineLevel="0" collapsed="false">
      <c r="A553" s="36"/>
      <c r="B553" s="22"/>
      <c r="C553" s="35"/>
      <c r="D553" s="22" t="str">
        <f aca="false">IF($B553="","",IF(F553="kg","g",IF(F553="L","ml",F553)))</f>
        <v/>
      </c>
      <c r="E553" s="24" t="str">
        <f aca="false">IF($B553="","",IFERROR(INDEX('Liste des ingrédients'!$H$5:$H$98,MATCH($B553,'Liste des ingrédients'!$B$5:$B$98,0)),0))</f>
        <v/>
      </c>
      <c r="F553" s="22" t="str">
        <f aca="false">IF($B553="","",IFERROR(INDEX('Liste des ingrédients'!$G$5:$G$98,MATCH($B553,'Liste des ingrédients'!$B$5:$B$98,0)),"?"))</f>
        <v/>
      </c>
      <c r="G553" s="24" t="n">
        <f aca="false">IF(OR($B553="",$C553=""),0,IFERROR($C553*E553/IF(OR(F553="kg",F553="L"),1000,1),0))</f>
        <v>0</v>
      </c>
      <c r="H553" s="22" t="str">
        <f aca="false">IF(AND($A553&lt;&gt;"",$A553='Fiche plat'!$C$3),COUNTIF($A$5:$A553,'Fiche plat'!$C$3),"")</f>
        <v/>
      </c>
      <c r="I553" s="0" t="str">
        <f aca="false">IF($A553="","",IFERROR(INDEX(Plats!$D$5:$D$48,MATCH($A553,Plats!$I$5:$I$48,0)),""))</f>
        <v/>
      </c>
    </row>
    <row r="554" customFormat="false" ht="15" hidden="false" customHeight="false" outlineLevel="0" collapsed="false">
      <c r="A554" s="36"/>
      <c r="B554" s="22"/>
      <c r="C554" s="35"/>
      <c r="D554" s="22" t="str">
        <f aca="false">IF($B554="","",IF(F554="kg","g",IF(F554="L","ml",F554)))</f>
        <v/>
      </c>
      <c r="E554" s="24" t="str">
        <f aca="false">IF($B554="","",IFERROR(INDEX('Liste des ingrédients'!$H$5:$H$98,MATCH($B554,'Liste des ingrédients'!$B$5:$B$98,0)),0))</f>
        <v/>
      </c>
      <c r="F554" s="22" t="str">
        <f aca="false">IF($B554="","",IFERROR(INDEX('Liste des ingrédients'!$G$5:$G$98,MATCH($B554,'Liste des ingrédients'!$B$5:$B$98,0)),"?"))</f>
        <v/>
      </c>
      <c r="G554" s="24" t="n">
        <f aca="false">IF(OR($B554="",$C554=""),0,IFERROR($C554*E554/IF(OR(F554="kg",F554="L"),1000,1),0))</f>
        <v>0</v>
      </c>
      <c r="H554" s="22" t="str">
        <f aca="false">IF(AND($A554&lt;&gt;"",$A554='Fiche plat'!$C$3),COUNTIF($A$5:$A554,'Fiche plat'!$C$3),"")</f>
        <v/>
      </c>
      <c r="I554" s="0" t="str">
        <f aca="false">IF($A554="","",IFERROR(INDEX(Plats!$D$5:$D$48,MATCH($A554,Plats!$I$5:$I$48,0)),""))</f>
        <v/>
      </c>
    </row>
    <row r="555" customFormat="false" ht="15" hidden="false" customHeight="false" outlineLevel="0" collapsed="false">
      <c r="A555" s="36"/>
      <c r="B555" s="22"/>
      <c r="C555" s="35"/>
      <c r="D555" s="22" t="str">
        <f aca="false">IF($B555="","",IF(F555="kg","g",IF(F555="L","ml",F555)))</f>
        <v/>
      </c>
      <c r="E555" s="24" t="str">
        <f aca="false">IF($B555="","",IFERROR(INDEX('Liste des ingrédients'!$H$5:$H$98,MATCH($B555,'Liste des ingrédients'!$B$5:$B$98,0)),0))</f>
        <v/>
      </c>
      <c r="F555" s="22" t="str">
        <f aca="false">IF($B555="","",IFERROR(INDEX('Liste des ingrédients'!$G$5:$G$98,MATCH($B555,'Liste des ingrédients'!$B$5:$B$98,0)),"?"))</f>
        <v/>
      </c>
      <c r="G555" s="24" t="n">
        <f aca="false">IF(OR($B555="",$C555=""),0,IFERROR($C555*E555/IF(OR(F555="kg",F555="L"),1000,1),0))</f>
        <v>0</v>
      </c>
      <c r="H555" s="22" t="str">
        <f aca="false">IF(AND($A555&lt;&gt;"",$A555='Fiche plat'!$C$3),COUNTIF($A$5:$A555,'Fiche plat'!$C$3),"")</f>
        <v/>
      </c>
      <c r="I555" s="0" t="str">
        <f aca="false">IF($A555="","",IFERROR(INDEX(Plats!$D$5:$D$48,MATCH($A555,Plats!$I$5:$I$48,0)),""))</f>
        <v/>
      </c>
    </row>
    <row r="556" customFormat="false" ht="15" hidden="false" customHeight="false" outlineLevel="0" collapsed="false">
      <c r="A556" s="36"/>
      <c r="B556" s="22"/>
      <c r="C556" s="35"/>
      <c r="D556" s="22" t="str">
        <f aca="false">IF($B556="","",IF(F556="kg","g",IF(F556="L","ml",F556)))</f>
        <v/>
      </c>
      <c r="E556" s="24" t="str">
        <f aca="false">IF($B556="","",IFERROR(INDEX('Liste des ingrédients'!$H$5:$H$98,MATCH($B556,'Liste des ingrédients'!$B$5:$B$98,0)),0))</f>
        <v/>
      </c>
      <c r="F556" s="22" t="str">
        <f aca="false">IF($B556="","",IFERROR(INDEX('Liste des ingrédients'!$G$5:$G$98,MATCH($B556,'Liste des ingrédients'!$B$5:$B$98,0)),"?"))</f>
        <v/>
      </c>
      <c r="G556" s="24" t="n">
        <f aca="false">IF(OR($B556="",$C556=""),0,IFERROR($C556*E556/IF(OR(F556="kg",F556="L"),1000,1),0))</f>
        <v>0</v>
      </c>
      <c r="H556" s="22" t="str">
        <f aca="false">IF(AND($A556&lt;&gt;"",$A556='Fiche plat'!$C$3),COUNTIF($A$5:$A556,'Fiche plat'!$C$3),"")</f>
        <v/>
      </c>
      <c r="I556" s="0" t="str">
        <f aca="false">IF($A556="","",IFERROR(INDEX(Plats!$D$5:$D$48,MATCH($A556,Plats!$I$5:$I$48,0)),""))</f>
        <v/>
      </c>
    </row>
    <row r="557" customFormat="false" ht="15" hidden="false" customHeight="false" outlineLevel="0" collapsed="false">
      <c r="A557" s="36"/>
      <c r="B557" s="22"/>
      <c r="C557" s="35"/>
      <c r="D557" s="22" t="str">
        <f aca="false">IF($B557="","",IF(F557="kg","g",IF(F557="L","ml",F557)))</f>
        <v/>
      </c>
      <c r="E557" s="24" t="str">
        <f aca="false">IF($B557="","",IFERROR(INDEX('Liste des ingrédients'!$H$5:$H$98,MATCH($B557,'Liste des ingrédients'!$B$5:$B$98,0)),0))</f>
        <v/>
      </c>
      <c r="F557" s="22" t="str">
        <f aca="false">IF($B557="","",IFERROR(INDEX('Liste des ingrédients'!$G$5:$G$98,MATCH($B557,'Liste des ingrédients'!$B$5:$B$98,0)),"?"))</f>
        <v/>
      </c>
      <c r="G557" s="24" t="n">
        <f aca="false">IF(OR($B557="",$C557=""),0,IFERROR($C557*E557/IF(OR(F557="kg",F557="L"),1000,1),0))</f>
        <v>0</v>
      </c>
      <c r="H557" s="22" t="str">
        <f aca="false">IF(AND($A557&lt;&gt;"",$A557='Fiche plat'!$C$3),COUNTIF($A$5:$A557,'Fiche plat'!$C$3),"")</f>
        <v/>
      </c>
      <c r="I557" s="0" t="str">
        <f aca="false">IF($A557="","",IFERROR(INDEX(Plats!$D$5:$D$48,MATCH($A557,Plats!$I$5:$I$48,0)),""))</f>
        <v/>
      </c>
    </row>
    <row r="558" customFormat="false" ht="15" hidden="false" customHeight="false" outlineLevel="0" collapsed="false">
      <c r="A558" s="36"/>
      <c r="B558" s="22"/>
      <c r="C558" s="35"/>
      <c r="D558" s="22" t="str">
        <f aca="false">IF($B558="","",IF(F558="kg","g",IF(F558="L","ml",F558)))</f>
        <v/>
      </c>
      <c r="E558" s="24" t="str">
        <f aca="false">IF($B558="","",IFERROR(INDEX('Liste des ingrédients'!$H$5:$H$98,MATCH($B558,'Liste des ingrédients'!$B$5:$B$98,0)),0))</f>
        <v/>
      </c>
      <c r="F558" s="22" t="str">
        <f aca="false">IF($B558="","",IFERROR(INDEX('Liste des ingrédients'!$G$5:$G$98,MATCH($B558,'Liste des ingrédients'!$B$5:$B$98,0)),"?"))</f>
        <v/>
      </c>
      <c r="G558" s="24" t="n">
        <f aca="false">IF(OR($B558="",$C558=""),0,IFERROR($C558*E558/IF(OR(F558="kg",F558="L"),1000,1),0))</f>
        <v>0</v>
      </c>
      <c r="H558" s="22" t="str">
        <f aca="false">IF(AND($A558&lt;&gt;"",$A558='Fiche plat'!$C$3),COUNTIF($A$5:$A558,'Fiche plat'!$C$3),"")</f>
        <v/>
      </c>
      <c r="I558" s="0" t="str">
        <f aca="false">IF($A558="","",IFERROR(INDEX(Plats!$D$5:$D$48,MATCH($A558,Plats!$I$5:$I$48,0)),""))</f>
        <v/>
      </c>
    </row>
    <row r="559" customFormat="false" ht="15" hidden="false" customHeight="false" outlineLevel="0" collapsed="false">
      <c r="A559" s="36"/>
      <c r="B559" s="22"/>
      <c r="C559" s="35"/>
      <c r="D559" s="22" t="str">
        <f aca="false">IF($B559="","",IF(F559="kg","g",IF(F559="L","ml",F559)))</f>
        <v/>
      </c>
      <c r="E559" s="24" t="str">
        <f aca="false">IF($B559="","",IFERROR(INDEX('Liste des ingrédients'!$H$5:$H$98,MATCH($B559,'Liste des ingrédients'!$B$5:$B$98,0)),0))</f>
        <v/>
      </c>
      <c r="F559" s="22" t="str">
        <f aca="false">IF($B559="","",IFERROR(INDEX('Liste des ingrédients'!$G$5:$G$98,MATCH($B559,'Liste des ingrédients'!$B$5:$B$98,0)),"?"))</f>
        <v/>
      </c>
      <c r="G559" s="24" t="n">
        <f aca="false">IF(OR($B559="",$C559=""),0,IFERROR($C559*E559/IF(OR(F559="kg",F559="L"),1000,1),0))</f>
        <v>0</v>
      </c>
      <c r="H559" s="22" t="str">
        <f aca="false">IF(AND($A559&lt;&gt;"",$A559='Fiche plat'!$C$3),COUNTIF($A$5:$A559,'Fiche plat'!$C$3),"")</f>
        <v/>
      </c>
      <c r="I559" s="0" t="str">
        <f aca="false">IF($A559="","",IFERROR(INDEX(Plats!$D$5:$D$48,MATCH($A559,Plats!$I$5:$I$48,0)),""))</f>
        <v/>
      </c>
    </row>
    <row r="560" customFormat="false" ht="15" hidden="false" customHeight="false" outlineLevel="0" collapsed="false">
      <c r="A560" s="36"/>
      <c r="B560" s="22"/>
      <c r="C560" s="35"/>
      <c r="D560" s="22" t="str">
        <f aca="false">IF($B560="","",IF(F560="kg","g",IF(F560="L","ml",F560)))</f>
        <v/>
      </c>
      <c r="E560" s="24" t="str">
        <f aca="false">IF($B560="","",IFERROR(INDEX('Liste des ingrédients'!$H$5:$H$98,MATCH($B560,'Liste des ingrédients'!$B$5:$B$98,0)),0))</f>
        <v/>
      </c>
      <c r="F560" s="22" t="str">
        <f aca="false">IF($B560="","",IFERROR(INDEX('Liste des ingrédients'!$G$5:$G$98,MATCH($B560,'Liste des ingrédients'!$B$5:$B$98,0)),"?"))</f>
        <v/>
      </c>
      <c r="G560" s="24" t="n">
        <f aca="false">IF(OR($B560="",$C560=""),0,IFERROR($C560*E560/IF(OR(F560="kg",F560="L"),1000,1),0))</f>
        <v>0</v>
      </c>
      <c r="H560" s="22" t="str">
        <f aca="false">IF(AND($A560&lt;&gt;"",$A560='Fiche plat'!$C$3),COUNTIF($A$5:$A560,'Fiche plat'!$C$3),"")</f>
        <v/>
      </c>
      <c r="I560" s="0" t="str">
        <f aca="false">IF($A560="","",IFERROR(INDEX(Plats!$D$5:$D$48,MATCH($A560,Plats!$I$5:$I$48,0)),""))</f>
        <v/>
      </c>
    </row>
    <row r="561" customFormat="false" ht="15" hidden="false" customHeight="false" outlineLevel="0" collapsed="false">
      <c r="A561" s="36"/>
      <c r="B561" s="22"/>
      <c r="C561" s="35"/>
      <c r="D561" s="22" t="str">
        <f aca="false">IF($B561="","",IF(F561="kg","g",IF(F561="L","ml",F561)))</f>
        <v/>
      </c>
      <c r="E561" s="24" t="str">
        <f aca="false">IF($B561="","",IFERROR(INDEX('Liste des ingrédients'!$H$5:$H$98,MATCH($B561,'Liste des ingrédients'!$B$5:$B$98,0)),0))</f>
        <v/>
      </c>
      <c r="F561" s="22" t="str">
        <f aca="false">IF($B561="","",IFERROR(INDEX('Liste des ingrédients'!$G$5:$G$98,MATCH($B561,'Liste des ingrédients'!$B$5:$B$98,0)),"?"))</f>
        <v/>
      </c>
      <c r="G561" s="24" t="n">
        <f aca="false">IF(OR($B561="",$C561=""),0,IFERROR($C561*E561/IF(OR(F561="kg",F561="L"),1000,1),0))</f>
        <v>0</v>
      </c>
      <c r="H561" s="22" t="str">
        <f aca="false">IF(AND($A561&lt;&gt;"",$A561='Fiche plat'!$C$3),COUNTIF($A$5:$A561,'Fiche plat'!$C$3),"")</f>
        <v/>
      </c>
      <c r="I561" s="0" t="str">
        <f aca="false">IF($A561="","",IFERROR(INDEX(Plats!$D$5:$D$48,MATCH($A561,Plats!$I$5:$I$48,0)),""))</f>
        <v/>
      </c>
    </row>
    <row r="562" customFormat="false" ht="15" hidden="false" customHeight="false" outlineLevel="0" collapsed="false">
      <c r="A562" s="36"/>
      <c r="B562" s="22"/>
      <c r="C562" s="35"/>
      <c r="D562" s="22" t="str">
        <f aca="false">IF($B562="","",IF(F562="kg","g",IF(F562="L","ml",F562)))</f>
        <v/>
      </c>
      <c r="E562" s="24" t="str">
        <f aca="false">IF($B562="","",IFERROR(INDEX('Liste des ingrédients'!$H$5:$H$98,MATCH($B562,'Liste des ingrédients'!$B$5:$B$98,0)),0))</f>
        <v/>
      </c>
      <c r="F562" s="22" t="str">
        <f aca="false">IF($B562="","",IFERROR(INDEX('Liste des ingrédients'!$G$5:$G$98,MATCH($B562,'Liste des ingrédients'!$B$5:$B$98,0)),"?"))</f>
        <v/>
      </c>
      <c r="G562" s="24" t="n">
        <f aca="false">IF(OR($B562="",$C562=""),0,IFERROR($C562*E562/IF(OR(F562="kg",F562="L"),1000,1),0))</f>
        <v>0</v>
      </c>
      <c r="H562" s="22" t="str">
        <f aca="false">IF(AND($A562&lt;&gt;"",$A562='Fiche plat'!$C$3),COUNTIF($A$5:$A562,'Fiche plat'!$C$3),"")</f>
        <v/>
      </c>
      <c r="I562" s="0" t="str">
        <f aca="false">IF($A562="","",IFERROR(INDEX(Plats!$D$5:$D$48,MATCH($A562,Plats!$I$5:$I$48,0)),""))</f>
        <v/>
      </c>
    </row>
    <row r="563" customFormat="false" ht="15" hidden="false" customHeight="false" outlineLevel="0" collapsed="false">
      <c r="A563" s="36"/>
      <c r="B563" s="22"/>
      <c r="C563" s="35"/>
      <c r="D563" s="22" t="str">
        <f aca="false">IF($B563="","",IF(F563="kg","g",IF(F563="L","ml",F563)))</f>
        <v/>
      </c>
      <c r="E563" s="24" t="str">
        <f aca="false">IF($B563="","",IFERROR(INDEX('Liste des ingrédients'!$H$5:$H$98,MATCH($B563,'Liste des ingrédients'!$B$5:$B$98,0)),0))</f>
        <v/>
      </c>
      <c r="F563" s="22" t="str">
        <f aca="false">IF($B563="","",IFERROR(INDEX('Liste des ingrédients'!$G$5:$G$98,MATCH($B563,'Liste des ingrédients'!$B$5:$B$98,0)),"?"))</f>
        <v/>
      </c>
      <c r="G563" s="24" t="n">
        <f aca="false">IF(OR($B563="",$C563=""),0,IFERROR($C563*E563/IF(OR(F563="kg",F563="L"),1000,1),0))</f>
        <v>0</v>
      </c>
      <c r="H563" s="22" t="str">
        <f aca="false">IF(AND($A563&lt;&gt;"",$A563='Fiche plat'!$C$3),COUNTIF($A$5:$A563,'Fiche plat'!$C$3),"")</f>
        <v/>
      </c>
      <c r="I563" s="0" t="str">
        <f aca="false">IF($A563="","",IFERROR(INDEX(Plats!$D$5:$D$48,MATCH($A563,Plats!$I$5:$I$48,0)),""))</f>
        <v/>
      </c>
    </row>
    <row r="564" customFormat="false" ht="15" hidden="false" customHeight="false" outlineLevel="0" collapsed="false">
      <c r="A564" s="36"/>
      <c r="B564" s="22"/>
      <c r="C564" s="35"/>
      <c r="D564" s="22" t="str">
        <f aca="false">IF($B564="","",IF(F564="kg","g",IF(F564="L","ml",F564)))</f>
        <v/>
      </c>
      <c r="E564" s="24" t="str">
        <f aca="false">IF($B564="","",IFERROR(INDEX('Liste des ingrédients'!$H$5:$H$98,MATCH($B564,'Liste des ingrédients'!$B$5:$B$98,0)),0))</f>
        <v/>
      </c>
      <c r="F564" s="22" t="str">
        <f aca="false">IF($B564="","",IFERROR(INDEX('Liste des ingrédients'!$G$5:$G$98,MATCH($B564,'Liste des ingrédients'!$B$5:$B$98,0)),"?"))</f>
        <v/>
      </c>
      <c r="G564" s="24" t="n">
        <f aca="false">IF(OR($B564="",$C564=""),0,IFERROR($C564*E564/IF(OR(F564="kg",F564="L"),1000,1),0))</f>
        <v>0</v>
      </c>
      <c r="H564" s="22" t="str">
        <f aca="false">IF(AND($A564&lt;&gt;"",$A564='Fiche plat'!$C$3),COUNTIF($A$5:$A564,'Fiche plat'!$C$3),"")</f>
        <v/>
      </c>
      <c r="I564" s="0" t="str">
        <f aca="false">IF($A564="","",IFERROR(INDEX(Plats!$D$5:$D$48,MATCH($A564,Plats!$I$5:$I$48,0)),""))</f>
        <v/>
      </c>
    </row>
    <row r="565" customFormat="false" ht="15" hidden="false" customHeight="false" outlineLevel="0" collapsed="false">
      <c r="A565" s="36"/>
      <c r="B565" s="22"/>
      <c r="C565" s="35"/>
      <c r="D565" s="22" t="str">
        <f aca="false">IF($B565="","",IF(F565="kg","g",IF(F565="L","ml",F565)))</f>
        <v/>
      </c>
      <c r="E565" s="24" t="str">
        <f aca="false">IF($B565="","",IFERROR(INDEX('Liste des ingrédients'!$H$5:$H$98,MATCH($B565,'Liste des ingrédients'!$B$5:$B$98,0)),0))</f>
        <v/>
      </c>
      <c r="F565" s="22" t="str">
        <f aca="false">IF($B565="","",IFERROR(INDEX('Liste des ingrédients'!$G$5:$G$98,MATCH($B565,'Liste des ingrédients'!$B$5:$B$98,0)),"?"))</f>
        <v/>
      </c>
      <c r="G565" s="24" t="n">
        <f aca="false">IF(OR($B565="",$C565=""),0,IFERROR($C565*E565/IF(OR(F565="kg",F565="L"),1000,1),0))</f>
        <v>0</v>
      </c>
      <c r="H565" s="22" t="str">
        <f aca="false">IF(AND($A565&lt;&gt;"",$A565='Fiche plat'!$C$3),COUNTIF($A$5:$A565,'Fiche plat'!$C$3),"")</f>
        <v/>
      </c>
      <c r="I565" s="0" t="str">
        <f aca="false">IF($A565="","",IFERROR(INDEX(Plats!$D$5:$D$48,MATCH($A565,Plats!$I$5:$I$48,0)),""))</f>
        <v/>
      </c>
    </row>
    <row r="566" customFormat="false" ht="15" hidden="false" customHeight="false" outlineLevel="0" collapsed="false">
      <c r="A566" s="36"/>
      <c r="B566" s="22"/>
      <c r="C566" s="35"/>
      <c r="D566" s="22" t="str">
        <f aca="false">IF($B566="","",IF(F566="kg","g",IF(F566="L","ml",F566)))</f>
        <v/>
      </c>
      <c r="E566" s="24" t="str">
        <f aca="false">IF($B566="","",IFERROR(INDEX('Liste des ingrédients'!$H$5:$H$98,MATCH($B566,'Liste des ingrédients'!$B$5:$B$98,0)),0))</f>
        <v/>
      </c>
      <c r="F566" s="22" t="str">
        <f aca="false">IF($B566="","",IFERROR(INDEX('Liste des ingrédients'!$G$5:$G$98,MATCH($B566,'Liste des ingrédients'!$B$5:$B$98,0)),"?"))</f>
        <v/>
      </c>
      <c r="G566" s="24" t="n">
        <f aca="false">IF(OR($B566="",$C566=""),0,IFERROR($C566*E566/IF(OR(F566="kg",F566="L"),1000,1),0))</f>
        <v>0</v>
      </c>
      <c r="H566" s="22" t="str">
        <f aca="false">IF(AND($A566&lt;&gt;"",$A566='Fiche plat'!$C$3),COUNTIF($A$5:$A566,'Fiche plat'!$C$3),"")</f>
        <v/>
      </c>
      <c r="I566" s="0" t="str">
        <f aca="false">IF($A566="","",IFERROR(INDEX(Plats!$D$5:$D$48,MATCH($A566,Plats!$I$5:$I$48,0)),""))</f>
        <v/>
      </c>
    </row>
    <row r="567" customFormat="false" ht="15" hidden="false" customHeight="false" outlineLevel="0" collapsed="false">
      <c r="A567" s="36"/>
      <c r="B567" s="22"/>
      <c r="C567" s="35"/>
      <c r="D567" s="22" t="str">
        <f aca="false">IF($B567="","",IF(F567="kg","g",IF(F567="L","ml",F567)))</f>
        <v/>
      </c>
      <c r="E567" s="24" t="str">
        <f aca="false">IF($B567="","",IFERROR(INDEX('Liste des ingrédients'!$H$5:$H$98,MATCH($B567,'Liste des ingrédients'!$B$5:$B$98,0)),0))</f>
        <v/>
      </c>
      <c r="F567" s="22" t="str">
        <f aca="false">IF($B567="","",IFERROR(INDEX('Liste des ingrédients'!$G$5:$G$98,MATCH($B567,'Liste des ingrédients'!$B$5:$B$98,0)),"?"))</f>
        <v/>
      </c>
      <c r="G567" s="24" t="n">
        <f aca="false">IF(OR($B567="",$C567=""),0,IFERROR($C567*E567/IF(OR(F567="kg",F567="L"),1000,1),0))</f>
        <v>0</v>
      </c>
      <c r="H567" s="22" t="str">
        <f aca="false">IF(AND($A567&lt;&gt;"",$A567='Fiche plat'!$C$3),COUNTIF($A$5:$A567,'Fiche plat'!$C$3),"")</f>
        <v/>
      </c>
      <c r="I567" s="0" t="str">
        <f aca="false">IF($A567="","",IFERROR(INDEX(Plats!$D$5:$D$48,MATCH($A567,Plats!$I$5:$I$48,0)),""))</f>
        <v/>
      </c>
    </row>
    <row r="568" customFormat="false" ht="15" hidden="false" customHeight="false" outlineLevel="0" collapsed="false">
      <c r="A568" s="36"/>
      <c r="B568" s="22"/>
      <c r="C568" s="35"/>
      <c r="D568" s="22" t="str">
        <f aca="false">IF($B568="","",IF(F568="kg","g",IF(F568="L","ml",F568)))</f>
        <v/>
      </c>
      <c r="E568" s="24" t="str">
        <f aca="false">IF($B568="","",IFERROR(INDEX('Liste des ingrédients'!$H$5:$H$98,MATCH($B568,'Liste des ingrédients'!$B$5:$B$98,0)),0))</f>
        <v/>
      </c>
      <c r="F568" s="22" t="str">
        <f aca="false">IF($B568="","",IFERROR(INDEX('Liste des ingrédients'!$G$5:$G$98,MATCH($B568,'Liste des ingrédients'!$B$5:$B$98,0)),"?"))</f>
        <v/>
      </c>
      <c r="G568" s="24" t="n">
        <f aca="false">IF(OR($B568="",$C568=""),0,IFERROR($C568*E568/IF(OR(F568="kg",F568="L"),1000,1),0))</f>
        <v>0</v>
      </c>
      <c r="H568" s="22" t="str">
        <f aca="false">IF(AND($A568&lt;&gt;"",$A568='Fiche plat'!$C$3),COUNTIF($A$5:$A568,'Fiche plat'!$C$3),"")</f>
        <v/>
      </c>
      <c r="I568" s="0" t="str">
        <f aca="false">IF($A568="","",IFERROR(INDEX(Plats!$D$5:$D$48,MATCH($A568,Plats!$I$5:$I$48,0)),""))</f>
        <v/>
      </c>
    </row>
    <row r="569" customFormat="false" ht="15" hidden="false" customHeight="false" outlineLevel="0" collapsed="false">
      <c r="A569" s="36"/>
      <c r="B569" s="22"/>
      <c r="C569" s="35"/>
      <c r="D569" s="22" t="str">
        <f aca="false">IF($B569="","",IF(F569="kg","g",IF(F569="L","ml",F569)))</f>
        <v/>
      </c>
      <c r="E569" s="24" t="str">
        <f aca="false">IF($B569="","",IFERROR(INDEX('Liste des ingrédients'!$H$5:$H$98,MATCH($B569,'Liste des ingrédients'!$B$5:$B$98,0)),0))</f>
        <v/>
      </c>
      <c r="F569" s="22" t="str">
        <f aca="false">IF($B569="","",IFERROR(INDEX('Liste des ingrédients'!$G$5:$G$98,MATCH($B569,'Liste des ingrédients'!$B$5:$B$98,0)),"?"))</f>
        <v/>
      </c>
      <c r="G569" s="24" t="n">
        <f aca="false">IF(OR($B569="",$C569=""),0,IFERROR($C569*E569/IF(OR(F569="kg",F569="L"),1000,1),0))</f>
        <v>0</v>
      </c>
      <c r="H569" s="22" t="str">
        <f aca="false">IF(AND($A569&lt;&gt;"",$A569='Fiche plat'!$C$3),COUNTIF($A$5:$A569,'Fiche plat'!$C$3),"")</f>
        <v/>
      </c>
      <c r="I569" s="0" t="str">
        <f aca="false">IF($A569="","",IFERROR(INDEX(Plats!$D$5:$D$48,MATCH($A569,Plats!$I$5:$I$48,0)),""))</f>
        <v/>
      </c>
    </row>
    <row r="570" customFormat="false" ht="15" hidden="false" customHeight="false" outlineLevel="0" collapsed="false">
      <c r="A570" s="36"/>
      <c r="B570" s="22"/>
      <c r="C570" s="35"/>
      <c r="D570" s="22" t="str">
        <f aca="false">IF($B570="","",IF(F570="kg","g",IF(F570="L","ml",F570)))</f>
        <v/>
      </c>
      <c r="E570" s="24" t="str">
        <f aca="false">IF($B570="","",IFERROR(INDEX('Liste des ingrédients'!$H$5:$H$98,MATCH($B570,'Liste des ingrédients'!$B$5:$B$98,0)),0))</f>
        <v/>
      </c>
      <c r="F570" s="22" t="str">
        <f aca="false">IF($B570="","",IFERROR(INDEX('Liste des ingrédients'!$G$5:$G$98,MATCH($B570,'Liste des ingrédients'!$B$5:$B$98,0)),"?"))</f>
        <v/>
      </c>
      <c r="G570" s="24" t="n">
        <f aca="false">IF(OR($B570="",$C570=""),0,IFERROR($C570*E570/IF(OR(F570="kg",F570="L"),1000,1),0))</f>
        <v>0</v>
      </c>
      <c r="H570" s="22" t="str">
        <f aca="false">IF(AND($A570&lt;&gt;"",$A570='Fiche plat'!$C$3),COUNTIF($A$5:$A570,'Fiche plat'!$C$3),"")</f>
        <v/>
      </c>
      <c r="I570" s="0" t="str">
        <f aca="false">IF($A570="","",IFERROR(INDEX(Plats!$D$5:$D$48,MATCH($A570,Plats!$I$5:$I$48,0)),""))</f>
        <v/>
      </c>
    </row>
    <row r="571" customFormat="false" ht="15" hidden="false" customHeight="false" outlineLevel="0" collapsed="false">
      <c r="A571" s="36"/>
      <c r="B571" s="22"/>
      <c r="C571" s="35"/>
      <c r="D571" s="22" t="str">
        <f aca="false">IF($B571="","",IF(F571="kg","g",IF(F571="L","ml",F571)))</f>
        <v/>
      </c>
      <c r="E571" s="24" t="str">
        <f aca="false">IF($B571="","",IFERROR(INDEX('Liste des ingrédients'!$H$5:$H$98,MATCH($B571,'Liste des ingrédients'!$B$5:$B$98,0)),0))</f>
        <v/>
      </c>
      <c r="F571" s="22" t="str">
        <f aca="false">IF($B571="","",IFERROR(INDEX('Liste des ingrédients'!$G$5:$G$98,MATCH($B571,'Liste des ingrédients'!$B$5:$B$98,0)),"?"))</f>
        <v/>
      </c>
      <c r="G571" s="24" t="n">
        <f aca="false">IF(OR($B571="",$C571=""),0,IFERROR($C571*E571/IF(OR(F571="kg",F571="L"),1000,1),0))</f>
        <v>0</v>
      </c>
      <c r="H571" s="22" t="str">
        <f aca="false">IF(AND($A571&lt;&gt;"",$A571='Fiche plat'!$C$3),COUNTIF($A$5:$A571,'Fiche plat'!$C$3),"")</f>
        <v/>
      </c>
      <c r="I571" s="0" t="str">
        <f aca="false">IF($A571="","",IFERROR(INDEX(Plats!$D$5:$D$48,MATCH($A571,Plats!$I$5:$I$48,0)),""))</f>
        <v/>
      </c>
    </row>
    <row r="572" customFormat="false" ht="15" hidden="false" customHeight="false" outlineLevel="0" collapsed="false">
      <c r="A572" s="36"/>
      <c r="B572" s="22"/>
      <c r="C572" s="35"/>
      <c r="D572" s="22" t="str">
        <f aca="false">IF($B572="","",IF(F572="kg","g",IF(F572="L","ml",F572)))</f>
        <v/>
      </c>
      <c r="E572" s="24" t="str">
        <f aca="false">IF($B572="","",IFERROR(INDEX('Liste des ingrédients'!$H$5:$H$98,MATCH($B572,'Liste des ingrédients'!$B$5:$B$98,0)),0))</f>
        <v/>
      </c>
      <c r="F572" s="22" t="str">
        <f aca="false">IF($B572="","",IFERROR(INDEX('Liste des ingrédients'!$G$5:$G$98,MATCH($B572,'Liste des ingrédients'!$B$5:$B$98,0)),"?"))</f>
        <v/>
      </c>
      <c r="G572" s="24" t="n">
        <f aca="false">IF(OR($B572="",$C572=""),0,IFERROR($C572*E572/IF(OR(F572="kg",F572="L"),1000,1),0))</f>
        <v>0</v>
      </c>
      <c r="H572" s="22" t="str">
        <f aca="false">IF(AND($A572&lt;&gt;"",$A572='Fiche plat'!$C$3),COUNTIF($A$5:$A572,'Fiche plat'!$C$3),"")</f>
        <v/>
      </c>
      <c r="I572" s="0" t="str">
        <f aca="false">IF($A572="","",IFERROR(INDEX(Plats!$D$5:$D$48,MATCH($A572,Plats!$I$5:$I$48,0)),""))</f>
        <v/>
      </c>
    </row>
    <row r="573" customFormat="false" ht="15" hidden="false" customHeight="false" outlineLevel="0" collapsed="false">
      <c r="A573" s="36"/>
      <c r="B573" s="22"/>
      <c r="C573" s="35"/>
      <c r="D573" s="22" t="str">
        <f aca="false">IF($B573="","",IF(F573="kg","g",IF(F573="L","ml",F573)))</f>
        <v/>
      </c>
      <c r="E573" s="24" t="str">
        <f aca="false">IF($B573="","",IFERROR(INDEX('Liste des ingrédients'!$H$5:$H$98,MATCH($B573,'Liste des ingrédients'!$B$5:$B$98,0)),0))</f>
        <v/>
      </c>
      <c r="F573" s="22" t="str">
        <f aca="false">IF($B573="","",IFERROR(INDEX('Liste des ingrédients'!$G$5:$G$98,MATCH($B573,'Liste des ingrédients'!$B$5:$B$98,0)),"?"))</f>
        <v/>
      </c>
      <c r="G573" s="24" t="n">
        <f aca="false">IF(OR($B573="",$C573=""),0,IFERROR($C573*E573/IF(OR(F573="kg",F573="L"),1000,1),0))</f>
        <v>0</v>
      </c>
      <c r="H573" s="22" t="str">
        <f aca="false">IF(AND($A573&lt;&gt;"",$A573='Fiche plat'!$C$3),COUNTIF($A$5:$A573,'Fiche plat'!$C$3),"")</f>
        <v/>
      </c>
      <c r="I573" s="0" t="str">
        <f aca="false">IF($A573="","",IFERROR(INDEX(Plats!$D$5:$D$48,MATCH($A573,Plats!$I$5:$I$48,0)),""))</f>
        <v/>
      </c>
    </row>
    <row r="574" customFormat="false" ht="15" hidden="false" customHeight="false" outlineLevel="0" collapsed="false">
      <c r="A574" s="36"/>
      <c r="B574" s="22"/>
      <c r="C574" s="35"/>
      <c r="D574" s="22" t="str">
        <f aca="false">IF($B574="","",IF(F574="kg","g",IF(F574="L","ml",F574)))</f>
        <v/>
      </c>
      <c r="E574" s="24" t="str">
        <f aca="false">IF($B574="","",IFERROR(INDEX('Liste des ingrédients'!$H$5:$H$98,MATCH($B574,'Liste des ingrédients'!$B$5:$B$98,0)),0))</f>
        <v/>
      </c>
      <c r="F574" s="22" t="str">
        <f aca="false">IF($B574="","",IFERROR(INDEX('Liste des ingrédients'!$G$5:$G$98,MATCH($B574,'Liste des ingrédients'!$B$5:$B$98,0)),"?"))</f>
        <v/>
      </c>
      <c r="G574" s="24" t="n">
        <f aca="false">IF(OR($B574="",$C574=""),0,IFERROR($C574*E574/IF(OR(F574="kg",F574="L"),1000,1),0))</f>
        <v>0</v>
      </c>
      <c r="H574" s="22" t="str">
        <f aca="false">IF(AND($A574&lt;&gt;"",$A574='Fiche plat'!$C$3),COUNTIF($A$5:$A574,'Fiche plat'!$C$3),"")</f>
        <v/>
      </c>
      <c r="I574" s="0" t="str">
        <f aca="false">IF($A574="","",IFERROR(INDEX(Plats!$D$5:$D$48,MATCH($A574,Plats!$I$5:$I$48,0)),""))</f>
        <v/>
      </c>
    </row>
    <row r="575" customFormat="false" ht="15" hidden="false" customHeight="false" outlineLevel="0" collapsed="false">
      <c r="A575" s="36"/>
      <c r="B575" s="22"/>
      <c r="C575" s="35"/>
      <c r="D575" s="22" t="str">
        <f aca="false">IF($B575="","",IF(F575="kg","g",IF(F575="L","ml",F575)))</f>
        <v/>
      </c>
      <c r="E575" s="24" t="str">
        <f aca="false">IF($B575="","",IFERROR(INDEX('Liste des ingrédients'!$H$5:$H$98,MATCH($B575,'Liste des ingrédients'!$B$5:$B$98,0)),0))</f>
        <v/>
      </c>
      <c r="F575" s="22" t="str">
        <f aca="false">IF($B575="","",IFERROR(INDEX('Liste des ingrédients'!$G$5:$G$98,MATCH($B575,'Liste des ingrédients'!$B$5:$B$98,0)),"?"))</f>
        <v/>
      </c>
      <c r="G575" s="24" t="n">
        <f aca="false">IF(OR($B575="",$C575=""),0,IFERROR($C575*E575/IF(OR(F575="kg",F575="L"),1000,1),0))</f>
        <v>0</v>
      </c>
      <c r="H575" s="22" t="str">
        <f aca="false">IF(AND($A575&lt;&gt;"",$A575='Fiche plat'!$C$3),COUNTIF($A$5:$A575,'Fiche plat'!$C$3),"")</f>
        <v/>
      </c>
      <c r="I575" s="0" t="str">
        <f aca="false">IF($A575="","",IFERROR(INDEX(Plats!$D$5:$D$48,MATCH($A575,Plats!$I$5:$I$48,0)),""))</f>
        <v/>
      </c>
    </row>
    <row r="576" customFormat="false" ht="15" hidden="false" customHeight="false" outlineLevel="0" collapsed="false">
      <c r="A576" s="36"/>
      <c r="B576" s="22"/>
      <c r="C576" s="35"/>
      <c r="D576" s="22" t="str">
        <f aca="false">IF($B576="","",IF(F576="kg","g",IF(F576="L","ml",F576)))</f>
        <v/>
      </c>
      <c r="E576" s="24" t="str">
        <f aca="false">IF($B576="","",IFERROR(INDEX('Liste des ingrédients'!$H$5:$H$98,MATCH($B576,'Liste des ingrédients'!$B$5:$B$98,0)),0))</f>
        <v/>
      </c>
      <c r="F576" s="22" t="str">
        <f aca="false">IF($B576="","",IFERROR(INDEX('Liste des ingrédients'!$G$5:$G$98,MATCH($B576,'Liste des ingrédients'!$B$5:$B$98,0)),"?"))</f>
        <v/>
      </c>
      <c r="G576" s="24" t="n">
        <f aca="false">IF(OR($B576="",$C576=""),0,IFERROR($C576*E576/IF(OR(F576="kg",F576="L"),1000,1),0))</f>
        <v>0</v>
      </c>
      <c r="H576" s="22" t="str">
        <f aca="false">IF(AND($A576&lt;&gt;"",$A576='Fiche plat'!$C$3),COUNTIF($A$5:$A576,'Fiche plat'!$C$3),"")</f>
        <v/>
      </c>
      <c r="I576" s="0" t="str">
        <f aca="false">IF($A576="","",IFERROR(INDEX(Plats!$D$5:$D$48,MATCH($A576,Plats!$I$5:$I$48,0)),""))</f>
        <v/>
      </c>
    </row>
    <row r="577" customFormat="false" ht="15" hidden="false" customHeight="false" outlineLevel="0" collapsed="false">
      <c r="A577" s="36"/>
      <c r="B577" s="22"/>
      <c r="C577" s="35"/>
      <c r="D577" s="22" t="str">
        <f aca="false">IF($B577="","",IF(F577="kg","g",IF(F577="L","ml",F577)))</f>
        <v/>
      </c>
      <c r="E577" s="24" t="str">
        <f aca="false">IF($B577="","",IFERROR(INDEX('Liste des ingrédients'!$H$5:$H$98,MATCH($B577,'Liste des ingrédients'!$B$5:$B$98,0)),0))</f>
        <v/>
      </c>
      <c r="F577" s="22" t="str">
        <f aca="false">IF($B577="","",IFERROR(INDEX('Liste des ingrédients'!$G$5:$G$98,MATCH($B577,'Liste des ingrédients'!$B$5:$B$98,0)),"?"))</f>
        <v/>
      </c>
      <c r="G577" s="24" t="n">
        <f aca="false">IF(OR($B577="",$C577=""),0,IFERROR($C577*E577/IF(OR(F577="kg",F577="L"),1000,1),0))</f>
        <v>0</v>
      </c>
      <c r="H577" s="22" t="str">
        <f aca="false">IF(AND($A577&lt;&gt;"",$A577='Fiche plat'!$C$3),COUNTIF($A$5:$A577,'Fiche plat'!$C$3),"")</f>
        <v/>
      </c>
      <c r="I577" s="0" t="str">
        <f aca="false">IF($A577="","",IFERROR(INDEX(Plats!$D$5:$D$48,MATCH($A577,Plats!$I$5:$I$48,0)),""))</f>
        <v/>
      </c>
    </row>
    <row r="578" customFormat="false" ht="15" hidden="false" customHeight="false" outlineLevel="0" collapsed="false">
      <c r="A578" s="36"/>
      <c r="B578" s="22"/>
      <c r="C578" s="35"/>
      <c r="D578" s="22" t="str">
        <f aca="false">IF($B578="","",IF(F578="kg","g",IF(F578="L","ml",F578)))</f>
        <v/>
      </c>
      <c r="E578" s="24" t="str">
        <f aca="false">IF($B578="","",IFERROR(INDEX('Liste des ingrédients'!$H$5:$H$98,MATCH($B578,'Liste des ingrédients'!$B$5:$B$98,0)),0))</f>
        <v/>
      </c>
      <c r="F578" s="22" t="str">
        <f aca="false">IF($B578="","",IFERROR(INDEX('Liste des ingrédients'!$G$5:$G$98,MATCH($B578,'Liste des ingrédients'!$B$5:$B$98,0)),"?"))</f>
        <v/>
      </c>
      <c r="G578" s="24" t="n">
        <f aca="false">IF(OR($B578="",$C578=""),0,IFERROR($C578*E578/IF(OR(F578="kg",F578="L"),1000,1),0))</f>
        <v>0</v>
      </c>
      <c r="H578" s="22" t="str">
        <f aca="false">IF(AND($A578&lt;&gt;"",$A578='Fiche plat'!$C$3),COUNTIF($A$5:$A578,'Fiche plat'!$C$3),"")</f>
        <v/>
      </c>
      <c r="I578" s="0" t="str">
        <f aca="false">IF($A578="","",IFERROR(INDEX(Plats!$D$5:$D$48,MATCH($A578,Plats!$I$5:$I$48,0)),""))</f>
        <v/>
      </c>
    </row>
    <row r="579" customFormat="false" ht="15" hidden="false" customHeight="false" outlineLevel="0" collapsed="false">
      <c r="A579" s="36"/>
      <c r="B579" s="22"/>
      <c r="C579" s="35"/>
      <c r="D579" s="22" t="str">
        <f aca="false">IF($B579="","",IF(F579="kg","g",IF(F579="L","ml",F579)))</f>
        <v/>
      </c>
      <c r="E579" s="24" t="str">
        <f aca="false">IF($B579="","",IFERROR(INDEX('Liste des ingrédients'!$H$5:$H$98,MATCH($B579,'Liste des ingrédients'!$B$5:$B$98,0)),0))</f>
        <v/>
      </c>
      <c r="F579" s="22" t="str">
        <f aca="false">IF($B579="","",IFERROR(INDEX('Liste des ingrédients'!$G$5:$G$98,MATCH($B579,'Liste des ingrédients'!$B$5:$B$98,0)),"?"))</f>
        <v/>
      </c>
      <c r="G579" s="24" t="n">
        <f aca="false">IF(OR($B579="",$C579=""),0,IFERROR($C579*E579/IF(OR(F579="kg",F579="L"),1000,1),0))</f>
        <v>0</v>
      </c>
      <c r="H579" s="22" t="str">
        <f aca="false">IF(AND($A579&lt;&gt;"",$A579='Fiche plat'!$C$3),COUNTIF($A$5:$A579,'Fiche plat'!$C$3),"")</f>
        <v/>
      </c>
      <c r="I579" s="0" t="str">
        <f aca="false">IF($A579="","",IFERROR(INDEX(Plats!$D$5:$D$48,MATCH($A579,Plats!$I$5:$I$48,0)),""))</f>
        <v/>
      </c>
    </row>
    <row r="580" customFormat="false" ht="15" hidden="false" customHeight="false" outlineLevel="0" collapsed="false">
      <c r="A580" s="36"/>
      <c r="B580" s="22"/>
      <c r="C580" s="35"/>
      <c r="D580" s="22" t="str">
        <f aca="false">IF($B580="","",IF(F580="kg","g",IF(F580="L","ml",F580)))</f>
        <v/>
      </c>
      <c r="E580" s="24" t="str">
        <f aca="false">IF($B580="","",IFERROR(INDEX('Liste des ingrédients'!$H$5:$H$98,MATCH($B580,'Liste des ingrédients'!$B$5:$B$98,0)),0))</f>
        <v/>
      </c>
      <c r="F580" s="22" t="str">
        <f aca="false">IF($B580="","",IFERROR(INDEX('Liste des ingrédients'!$G$5:$G$98,MATCH($B580,'Liste des ingrédients'!$B$5:$B$98,0)),"?"))</f>
        <v/>
      </c>
      <c r="G580" s="24" t="n">
        <f aca="false">IF(OR($B580="",$C580=""),0,IFERROR($C580*E580/IF(OR(F580="kg",F580="L"),1000,1),0))</f>
        <v>0</v>
      </c>
      <c r="H580" s="22" t="str">
        <f aca="false">IF(AND($A580&lt;&gt;"",$A580='Fiche plat'!$C$3),COUNTIF($A$5:$A580,'Fiche plat'!$C$3),"")</f>
        <v/>
      </c>
      <c r="I580" s="0" t="str">
        <f aca="false">IF($A580="","",IFERROR(INDEX(Plats!$D$5:$D$48,MATCH($A580,Plats!$I$5:$I$48,0)),""))</f>
        <v/>
      </c>
    </row>
    <row r="581" customFormat="false" ht="15" hidden="false" customHeight="false" outlineLevel="0" collapsed="false">
      <c r="A581" s="36"/>
      <c r="B581" s="22"/>
      <c r="C581" s="35"/>
      <c r="D581" s="22" t="str">
        <f aca="false">IF($B581="","",IF(F581="kg","g",IF(F581="L","ml",F581)))</f>
        <v/>
      </c>
      <c r="E581" s="24" t="str">
        <f aca="false">IF($B581="","",IFERROR(INDEX('Liste des ingrédients'!$H$5:$H$98,MATCH($B581,'Liste des ingrédients'!$B$5:$B$98,0)),0))</f>
        <v/>
      </c>
      <c r="F581" s="22" t="str">
        <f aca="false">IF($B581="","",IFERROR(INDEX('Liste des ingrédients'!$G$5:$G$98,MATCH($B581,'Liste des ingrédients'!$B$5:$B$98,0)),"?"))</f>
        <v/>
      </c>
      <c r="G581" s="24" t="n">
        <f aca="false">IF(OR($B581="",$C581=""),0,IFERROR($C581*E581/IF(OR(F581="kg",F581="L"),1000,1),0))</f>
        <v>0</v>
      </c>
      <c r="H581" s="22" t="str">
        <f aca="false">IF(AND($A581&lt;&gt;"",$A581='Fiche plat'!$C$3),COUNTIF($A$5:$A581,'Fiche plat'!$C$3),"")</f>
        <v/>
      </c>
      <c r="I581" s="0" t="str">
        <f aca="false">IF($A581="","",IFERROR(INDEX(Plats!$D$5:$D$48,MATCH($A581,Plats!$I$5:$I$48,0)),""))</f>
        <v/>
      </c>
    </row>
    <row r="582" customFormat="false" ht="15" hidden="false" customHeight="false" outlineLevel="0" collapsed="false">
      <c r="A582" s="36"/>
      <c r="B582" s="22"/>
      <c r="C582" s="35"/>
      <c r="D582" s="22" t="str">
        <f aca="false">IF($B582="","",IF(F582="kg","g",IF(F582="L","ml",F582)))</f>
        <v/>
      </c>
      <c r="E582" s="24" t="str">
        <f aca="false">IF($B582="","",IFERROR(INDEX('Liste des ingrédients'!$H$5:$H$98,MATCH($B582,'Liste des ingrédients'!$B$5:$B$98,0)),0))</f>
        <v/>
      </c>
      <c r="F582" s="22" t="str">
        <f aca="false">IF($B582="","",IFERROR(INDEX('Liste des ingrédients'!$G$5:$G$98,MATCH($B582,'Liste des ingrédients'!$B$5:$B$98,0)),"?"))</f>
        <v/>
      </c>
      <c r="G582" s="24" t="n">
        <f aca="false">IF(OR($B582="",$C582=""),0,IFERROR($C582*E582/IF(OR(F582="kg",F582="L"),1000,1),0))</f>
        <v>0</v>
      </c>
      <c r="H582" s="22" t="str">
        <f aca="false">IF(AND($A582&lt;&gt;"",$A582='Fiche plat'!$C$3),COUNTIF($A$5:$A582,'Fiche plat'!$C$3),"")</f>
        <v/>
      </c>
      <c r="I582" s="0" t="str">
        <f aca="false">IF($A582="","",IFERROR(INDEX(Plats!$D$5:$D$48,MATCH($A582,Plats!$I$5:$I$48,0)),""))</f>
        <v/>
      </c>
    </row>
    <row r="583" customFormat="false" ht="15" hidden="false" customHeight="false" outlineLevel="0" collapsed="false">
      <c r="A583" s="36"/>
      <c r="B583" s="22"/>
      <c r="C583" s="35"/>
      <c r="D583" s="22" t="str">
        <f aca="false">IF($B583="","",IF(F583="kg","g",IF(F583="L","ml",F583)))</f>
        <v/>
      </c>
      <c r="E583" s="24" t="str">
        <f aca="false">IF($B583="","",IFERROR(INDEX('Liste des ingrédients'!$H$5:$H$98,MATCH($B583,'Liste des ingrédients'!$B$5:$B$98,0)),0))</f>
        <v/>
      </c>
      <c r="F583" s="22" t="str">
        <f aca="false">IF($B583="","",IFERROR(INDEX('Liste des ingrédients'!$G$5:$G$98,MATCH($B583,'Liste des ingrédients'!$B$5:$B$98,0)),"?"))</f>
        <v/>
      </c>
      <c r="G583" s="24" t="n">
        <f aca="false">IF(OR($B583="",$C583=""),0,IFERROR($C583*E583/IF(OR(F583="kg",F583="L"),1000,1),0))</f>
        <v>0</v>
      </c>
      <c r="H583" s="22" t="str">
        <f aca="false">IF(AND($A583&lt;&gt;"",$A583='Fiche plat'!$C$3),COUNTIF($A$5:$A583,'Fiche plat'!$C$3),"")</f>
        <v/>
      </c>
      <c r="I583" s="0" t="str">
        <f aca="false">IF($A583="","",IFERROR(INDEX(Plats!$D$5:$D$48,MATCH($A583,Plats!$I$5:$I$48,0)),""))</f>
        <v/>
      </c>
    </row>
    <row r="584" customFormat="false" ht="15" hidden="false" customHeight="false" outlineLevel="0" collapsed="false">
      <c r="A584" s="36"/>
      <c r="B584" s="22"/>
      <c r="C584" s="35"/>
      <c r="D584" s="22" t="str">
        <f aca="false">IF($B584="","",IF(F584="kg","g",IF(F584="L","ml",F584)))</f>
        <v/>
      </c>
      <c r="E584" s="24" t="str">
        <f aca="false">IF($B584="","",IFERROR(INDEX('Liste des ingrédients'!$H$5:$H$98,MATCH($B584,'Liste des ingrédients'!$B$5:$B$98,0)),0))</f>
        <v/>
      </c>
      <c r="F584" s="22" t="str">
        <f aca="false">IF($B584="","",IFERROR(INDEX('Liste des ingrédients'!$G$5:$G$98,MATCH($B584,'Liste des ingrédients'!$B$5:$B$98,0)),"?"))</f>
        <v/>
      </c>
      <c r="G584" s="24" t="n">
        <f aca="false">IF(OR($B584="",$C584=""),0,IFERROR($C584*E584/IF(OR(F584="kg",F584="L"),1000,1),0))</f>
        <v>0</v>
      </c>
      <c r="H584" s="22" t="str">
        <f aca="false">IF(AND($A584&lt;&gt;"",$A584='Fiche plat'!$C$3),COUNTIF($A$5:$A584,'Fiche plat'!$C$3),"")</f>
        <v/>
      </c>
      <c r="I584" s="0" t="str">
        <f aca="false">IF($A584="","",IFERROR(INDEX(Plats!$D$5:$D$48,MATCH($A584,Plats!$I$5:$I$48,0)),""))</f>
        <v/>
      </c>
    </row>
    <row r="585" customFormat="false" ht="15" hidden="false" customHeight="false" outlineLevel="0" collapsed="false">
      <c r="A585" s="36"/>
      <c r="B585" s="22"/>
      <c r="C585" s="35"/>
      <c r="D585" s="22" t="str">
        <f aca="false">IF($B585="","",IF(F585="kg","g",IF(F585="L","ml",F585)))</f>
        <v/>
      </c>
      <c r="E585" s="24" t="str">
        <f aca="false">IF($B585="","",IFERROR(INDEX('Liste des ingrédients'!$H$5:$H$98,MATCH($B585,'Liste des ingrédients'!$B$5:$B$98,0)),0))</f>
        <v/>
      </c>
      <c r="F585" s="22" t="str">
        <f aca="false">IF($B585="","",IFERROR(INDEX('Liste des ingrédients'!$G$5:$G$98,MATCH($B585,'Liste des ingrédients'!$B$5:$B$98,0)),"?"))</f>
        <v/>
      </c>
      <c r="G585" s="24" t="n">
        <f aca="false">IF(OR($B585="",$C585=""),0,IFERROR($C585*E585/IF(OR(F585="kg",F585="L"),1000,1),0))</f>
        <v>0</v>
      </c>
      <c r="H585" s="22" t="str">
        <f aca="false">IF(AND($A585&lt;&gt;"",$A585='Fiche plat'!$C$3),COUNTIF($A$5:$A585,'Fiche plat'!$C$3),"")</f>
        <v/>
      </c>
      <c r="I585" s="0" t="str">
        <f aca="false">IF($A585="","",IFERROR(INDEX(Plats!$D$5:$D$48,MATCH($A585,Plats!$I$5:$I$48,0)),""))</f>
        <v/>
      </c>
    </row>
    <row r="586" customFormat="false" ht="15" hidden="false" customHeight="false" outlineLevel="0" collapsed="false">
      <c r="A586" s="36"/>
      <c r="B586" s="22"/>
      <c r="C586" s="35"/>
      <c r="D586" s="22" t="str">
        <f aca="false">IF($B586="","",IF(F586="kg","g",IF(F586="L","ml",F586)))</f>
        <v/>
      </c>
      <c r="E586" s="24" t="str">
        <f aca="false">IF($B586="","",IFERROR(INDEX('Liste des ingrédients'!$H$5:$H$98,MATCH($B586,'Liste des ingrédients'!$B$5:$B$98,0)),0))</f>
        <v/>
      </c>
      <c r="F586" s="22" t="str">
        <f aca="false">IF($B586="","",IFERROR(INDEX('Liste des ingrédients'!$G$5:$G$98,MATCH($B586,'Liste des ingrédients'!$B$5:$B$98,0)),"?"))</f>
        <v/>
      </c>
      <c r="G586" s="24" t="n">
        <f aca="false">IF(OR($B586="",$C586=""),0,IFERROR($C586*E586/IF(OR(F586="kg",F586="L"),1000,1),0))</f>
        <v>0</v>
      </c>
      <c r="H586" s="22" t="str">
        <f aca="false">IF(AND($A586&lt;&gt;"",$A586='Fiche plat'!$C$3),COUNTIF($A$5:$A586,'Fiche plat'!$C$3),"")</f>
        <v/>
      </c>
      <c r="I586" s="0" t="str">
        <f aca="false">IF($A586="","",IFERROR(INDEX(Plats!$D$5:$D$48,MATCH($A586,Plats!$I$5:$I$48,0)),""))</f>
        <v/>
      </c>
    </row>
    <row r="587" customFormat="false" ht="15" hidden="false" customHeight="false" outlineLevel="0" collapsed="false">
      <c r="A587" s="36"/>
      <c r="B587" s="22"/>
      <c r="C587" s="35"/>
      <c r="D587" s="22" t="str">
        <f aca="false">IF($B587="","",IF(F587="kg","g",IF(F587="L","ml",F587)))</f>
        <v/>
      </c>
      <c r="E587" s="24" t="str">
        <f aca="false">IF($B587="","",IFERROR(INDEX('Liste des ingrédients'!$H$5:$H$98,MATCH($B587,'Liste des ingrédients'!$B$5:$B$98,0)),0))</f>
        <v/>
      </c>
      <c r="F587" s="22" t="str">
        <f aca="false">IF($B587="","",IFERROR(INDEX('Liste des ingrédients'!$G$5:$G$98,MATCH($B587,'Liste des ingrédients'!$B$5:$B$98,0)),"?"))</f>
        <v/>
      </c>
      <c r="G587" s="24" t="n">
        <f aca="false">IF(OR($B587="",$C587=""),0,IFERROR($C587*E587/IF(OR(F587="kg",F587="L"),1000,1),0))</f>
        <v>0</v>
      </c>
      <c r="H587" s="22" t="str">
        <f aca="false">IF(AND($A587&lt;&gt;"",$A587='Fiche plat'!$C$3),COUNTIF($A$5:$A587,'Fiche plat'!$C$3),"")</f>
        <v/>
      </c>
      <c r="I587" s="0" t="str">
        <f aca="false">IF($A587="","",IFERROR(INDEX(Plats!$D$5:$D$48,MATCH($A587,Plats!$I$5:$I$48,0)),""))</f>
        <v/>
      </c>
    </row>
    <row r="588" customFormat="false" ht="15" hidden="false" customHeight="false" outlineLevel="0" collapsed="false">
      <c r="A588" s="36"/>
      <c r="B588" s="22"/>
      <c r="C588" s="35"/>
      <c r="D588" s="22" t="str">
        <f aca="false">IF($B588="","",IF(F588="kg","g",IF(F588="L","ml",F588)))</f>
        <v/>
      </c>
      <c r="E588" s="24" t="str">
        <f aca="false">IF($B588="","",IFERROR(INDEX('Liste des ingrédients'!$H$5:$H$98,MATCH($B588,'Liste des ingrédients'!$B$5:$B$98,0)),0))</f>
        <v/>
      </c>
      <c r="F588" s="22" t="str">
        <f aca="false">IF($B588="","",IFERROR(INDEX('Liste des ingrédients'!$G$5:$G$98,MATCH($B588,'Liste des ingrédients'!$B$5:$B$98,0)),"?"))</f>
        <v/>
      </c>
      <c r="G588" s="24" t="n">
        <f aca="false">IF(OR($B588="",$C588=""),0,IFERROR($C588*E588/IF(OR(F588="kg",F588="L"),1000,1),0))</f>
        <v>0</v>
      </c>
      <c r="H588" s="22" t="str">
        <f aca="false">IF(AND($A588&lt;&gt;"",$A588='Fiche plat'!$C$3),COUNTIF($A$5:$A588,'Fiche plat'!$C$3),"")</f>
        <v/>
      </c>
      <c r="I588" s="0" t="str">
        <f aca="false">IF($A588="","",IFERROR(INDEX(Plats!$D$5:$D$48,MATCH($A588,Plats!$I$5:$I$48,0)),""))</f>
        <v/>
      </c>
    </row>
    <row r="589" customFormat="false" ht="15" hidden="false" customHeight="false" outlineLevel="0" collapsed="false">
      <c r="A589" s="36"/>
      <c r="B589" s="22"/>
      <c r="C589" s="35"/>
      <c r="D589" s="22" t="str">
        <f aca="false">IF($B589="","",IF(F589="kg","g",IF(F589="L","ml",F589)))</f>
        <v/>
      </c>
      <c r="E589" s="24" t="str">
        <f aca="false">IF($B589="","",IFERROR(INDEX('Liste des ingrédients'!$H$5:$H$98,MATCH($B589,'Liste des ingrédients'!$B$5:$B$98,0)),0))</f>
        <v/>
      </c>
      <c r="F589" s="22" t="str">
        <f aca="false">IF($B589="","",IFERROR(INDEX('Liste des ingrédients'!$G$5:$G$98,MATCH($B589,'Liste des ingrédients'!$B$5:$B$98,0)),"?"))</f>
        <v/>
      </c>
      <c r="G589" s="24" t="n">
        <f aca="false">IF(OR($B589="",$C589=""),0,IFERROR($C589*E589/IF(OR(F589="kg",F589="L"),1000,1),0))</f>
        <v>0</v>
      </c>
      <c r="H589" s="22" t="str">
        <f aca="false">IF(AND($A589&lt;&gt;"",$A589='Fiche plat'!$C$3),COUNTIF($A$5:$A589,'Fiche plat'!$C$3),"")</f>
        <v/>
      </c>
      <c r="I589" s="0" t="str">
        <f aca="false">IF($A589="","",IFERROR(INDEX(Plats!$D$5:$D$48,MATCH($A589,Plats!$I$5:$I$48,0)),""))</f>
        <v/>
      </c>
    </row>
    <row r="590" customFormat="false" ht="15" hidden="false" customHeight="false" outlineLevel="0" collapsed="false">
      <c r="A590" s="36"/>
      <c r="B590" s="22"/>
      <c r="C590" s="35"/>
      <c r="D590" s="22" t="str">
        <f aca="false">IF($B590="","",IF(F590="kg","g",IF(F590="L","ml",F590)))</f>
        <v/>
      </c>
      <c r="E590" s="24" t="str">
        <f aca="false">IF($B590="","",IFERROR(INDEX('Liste des ingrédients'!$H$5:$H$98,MATCH($B590,'Liste des ingrédients'!$B$5:$B$98,0)),0))</f>
        <v/>
      </c>
      <c r="F590" s="22" t="str">
        <f aca="false">IF($B590="","",IFERROR(INDEX('Liste des ingrédients'!$G$5:$G$98,MATCH($B590,'Liste des ingrédients'!$B$5:$B$98,0)),"?"))</f>
        <v/>
      </c>
      <c r="G590" s="24" t="n">
        <f aca="false">IF(OR($B590="",$C590=""),0,IFERROR($C590*E590/IF(OR(F590="kg",F590="L"),1000,1),0))</f>
        <v>0</v>
      </c>
      <c r="H590" s="22" t="str">
        <f aca="false">IF(AND($A590&lt;&gt;"",$A590='Fiche plat'!$C$3),COUNTIF($A$5:$A590,'Fiche plat'!$C$3),"")</f>
        <v/>
      </c>
      <c r="I590" s="0" t="str">
        <f aca="false">IF($A590="","",IFERROR(INDEX(Plats!$D$5:$D$48,MATCH($A590,Plats!$I$5:$I$48,0)),""))</f>
        <v/>
      </c>
    </row>
    <row r="591" customFormat="false" ht="15" hidden="false" customHeight="false" outlineLevel="0" collapsed="false">
      <c r="A591" s="36"/>
      <c r="B591" s="22"/>
      <c r="C591" s="35"/>
      <c r="D591" s="22" t="str">
        <f aca="false">IF($B591="","",IF(F591="kg","g",IF(F591="L","ml",F591)))</f>
        <v/>
      </c>
      <c r="E591" s="24" t="str">
        <f aca="false">IF($B591="","",IFERROR(INDEX('Liste des ingrédients'!$H$5:$H$98,MATCH($B591,'Liste des ingrédients'!$B$5:$B$98,0)),0))</f>
        <v/>
      </c>
      <c r="F591" s="22" t="str">
        <f aca="false">IF($B591="","",IFERROR(INDEX('Liste des ingrédients'!$G$5:$G$98,MATCH($B591,'Liste des ingrédients'!$B$5:$B$98,0)),"?"))</f>
        <v/>
      </c>
      <c r="G591" s="24" t="n">
        <f aca="false">IF(OR($B591="",$C591=""),0,IFERROR($C591*E591/IF(OR(F591="kg",F591="L"),1000,1),0))</f>
        <v>0</v>
      </c>
      <c r="H591" s="22" t="str">
        <f aca="false">IF(AND($A591&lt;&gt;"",$A591='Fiche plat'!$C$3),COUNTIF($A$5:$A591,'Fiche plat'!$C$3),"")</f>
        <v/>
      </c>
      <c r="I591" s="0" t="str">
        <f aca="false">IF($A591="","",IFERROR(INDEX(Plats!$D$5:$D$48,MATCH($A591,Plats!$I$5:$I$48,0)),""))</f>
        <v/>
      </c>
    </row>
    <row r="592" customFormat="false" ht="15" hidden="false" customHeight="false" outlineLevel="0" collapsed="false">
      <c r="A592" s="36"/>
      <c r="B592" s="22"/>
      <c r="C592" s="35"/>
      <c r="D592" s="22" t="str">
        <f aca="false">IF($B592="","",IF(F592="kg","g",IF(F592="L","ml",F592)))</f>
        <v/>
      </c>
      <c r="E592" s="24" t="str">
        <f aca="false">IF($B592="","",IFERROR(INDEX('Liste des ingrédients'!$H$5:$H$98,MATCH($B592,'Liste des ingrédients'!$B$5:$B$98,0)),0))</f>
        <v/>
      </c>
      <c r="F592" s="22" t="str">
        <f aca="false">IF($B592="","",IFERROR(INDEX('Liste des ingrédients'!$G$5:$G$98,MATCH($B592,'Liste des ingrédients'!$B$5:$B$98,0)),"?"))</f>
        <v/>
      </c>
      <c r="G592" s="24" t="n">
        <f aca="false">IF(OR($B592="",$C592=""),0,IFERROR($C592*E592/IF(OR(F592="kg",F592="L"),1000,1),0))</f>
        <v>0</v>
      </c>
      <c r="H592" s="22" t="str">
        <f aca="false">IF(AND($A592&lt;&gt;"",$A592='Fiche plat'!$C$3),COUNTIF($A$5:$A592,'Fiche plat'!$C$3),"")</f>
        <v/>
      </c>
      <c r="I592" s="0" t="str">
        <f aca="false">IF($A592="","",IFERROR(INDEX(Plats!$D$5:$D$48,MATCH($A592,Plats!$I$5:$I$48,0)),""))</f>
        <v/>
      </c>
    </row>
    <row r="593" customFormat="false" ht="15" hidden="false" customHeight="false" outlineLevel="0" collapsed="false">
      <c r="A593" s="36"/>
      <c r="B593" s="22"/>
      <c r="C593" s="35"/>
      <c r="D593" s="22" t="str">
        <f aca="false">IF($B593="","",IF(F593="kg","g",IF(F593="L","ml",F593)))</f>
        <v/>
      </c>
      <c r="E593" s="24" t="str">
        <f aca="false">IF($B593="","",IFERROR(INDEX('Liste des ingrédients'!$H$5:$H$98,MATCH($B593,'Liste des ingrédients'!$B$5:$B$98,0)),0))</f>
        <v/>
      </c>
      <c r="F593" s="22" t="str">
        <f aca="false">IF($B593="","",IFERROR(INDEX('Liste des ingrédients'!$G$5:$G$98,MATCH($B593,'Liste des ingrédients'!$B$5:$B$98,0)),"?"))</f>
        <v/>
      </c>
      <c r="G593" s="24" t="n">
        <f aca="false">IF(OR($B593="",$C593=""),0,IFERROR($C593*E593/IF(OR(F593="kg",F593="L"),1000,1),0))</f>
        <v>0</v>
      </c>
      <c r="H593" s="22" t="str">
        <f aca="false">IF(AND($A593&lt;&gt;"",$A593='Fiche plat'!$C$3),COUNTIF($A$5:$A593,'Fiche plat'!$C$3),"")</f>
        <v/>
      </c>
      <c r="I593" s="0" t="str">
        <f aca="false">IF($A593="","",IFERROR(INDEX(Plats!$D$5:$D$48,MATCH($A593,Plats!$I$5:$I$48,0)),""))</f>
        <v/>
      </c>
    </row>
    <row r="594" customFormat="false" ht="15" hidden="false" customHeight="false" outlineLevel="0" collapsed="false">
      <c r="A594" s="36"/>
      <c r="B594" s="22"/>
      <c r="C594" s="35"/>
      <c r="D594" s="22" t="str">
        <f aca="false">IF($B594="","",IF(F594="kg","g",IF(F594="L","ml",F594)))</f>
        <v/>
      </c>
      <c r="E594" s="24" t="str">
        <f aca="false">IF($B594="","",IFERROR(INDEX('Liste des ingrédients'!$H$5:$H$98,MATCH($B594,'Liste des ingrédients'!$B$5:$B$98,0)),0))</f>
        <v/>
      </c>
      <c r="F594" s="22" t="str">
        <f aca="false">IF($B594="","",IFERROR(INDEX('Liste des ingrédients'!$G$5:$G$98,MATCH($B594,'Liste des ingrédients'!$B$5:$B$98,0)),"?"))</f>
        <v/>
      </c>
      <c r="G594" s="24" t="n">
        <f aca="false">IF(OR($B594="",$C594=""),0,IFERROR($C594*E594/IF(OR(F594="kg",F594="L"),1000,1),0))</f>
        <v>0</v>
      </c>
      <c r="H594" s="22" t="str">
        <f aca="false">IF(AND($A594&lt;&gt;"",$A594='Fiche plat'!$C$3),COUNTIF($A$5:$A594,'Fiche plat'!$C$3),"")</f>
        <v/>
      </c>
      <c r="I594" s="0" t="str">
        <f aca="false">IF($A594="","",IFERROR(INDEX(Plats!$D$5:$D$48,MATCH($A594,Plats!$I$5:$I$48,0)),""))</f>
        <v/>
      </c>
    </row>
    <row r="595" customFormat="false" ht="15" hidden="false" customHeight="false" outlineLevel="0" collapsed="false">
      <c r="A595" s="36"/>
      <c r="B595" s="22"/>
      <c r="C595" s="35"/>
      <c r="D595" s="22" t="str">
        <f aca="false">IF($B595="","",IF(F595="kg","g",IF(F595="L","ml",F595)))</f>
        <v/>
      </c>
      <c r="E595" s="24" t="str">
        <f aca="false">IF($B595="","",IFERROR(INDEX('Liste des ingrédients'!$H$5:$H$98,MATCH($B595,'Liste des ingrédients'!$B$5:$B$98,0)),0))</f>
        <v/>
      </c>
      <c r="F595" s="22" t="str">
        <f aca="false">IF($B595="","",IFERROR(INDEX('Liste des ingrédients'!$G$5:$G$98,MATCH($B595,'Liste des ingrédients'!$B$5:$B$98,0)),"?"))</f>
        <v/>
      </c>
      <c r="G595" s="24" t="n">
        <f aca="false">IF(OR($B595="",$C595=""),0,IFERROR($C595*E595/IF(OR(F595="kg",F595="L"),1000,1),0))</f>
        <v>0</v>
      </c>
      <c r="H595" s="22" t="str">
        <f aca="false">IF(AND($A595&lt;&gt;"",$A595='Fiche plat'!$C$3),COUNTIF($A$5:$A595,'Fiche plat'!$C$3),"")</f>
        <v/>
      </c>
      <c r="I595" s="0" t="str">
        <f aca="false">IF($A595="","",IFERROR(INDEX(Plats!$D$5:$D$48,MATCH($A595,Plats!$I$5:$I$48,0)),""))</f>
        <v/>
      </c>
    </row>
    <row r="596" customFormat="false" ht="15" hidden="false" customHeight="false" outlineLevel="0" collapsed="false">
      <c r="A596" s="36"/>
      <c r="B596" s="22"/>
      <c r="C596" s="35"/>
      <c r="D596" s="22" t="str">
        <f aca="false">IF($B596="","",IF(F596="kg","g",IF(F596="L","ml",F596)))</f>
        <v/>
      </c>
      <c r="E596" s="24" t="str">
        <f aca="false">IF($B596="","",IFERROR(INDEX('Liste des ingrédients'!$H$5:$H$98,MATCH($B596,'Liste des ingrédients'!$B$5:$B$98,0)),0))</f>
        <v/>
      </c>
      <c r="F596" s="22" t="str">
        <f aca="false">IF($B596="","",IFERROR(INDEX('Liste des ingrédients'!$G$5:$G$98,MATCH($B596,'Liste des ingrédients'!$B$5:$B$98,0)),"?"))</f>
        <v/>
      </c>
      <c r="G596" s="24" t="n">
        <f aca="false">IF(OR($B596="",$C596=""),0,IFERROR($C596*E596/IF(OR(F596="kg",F596="L"),1000,1),0))</f>
        <v>0</v>
      </c>
      <c r="H596" s="22" t="str">
        <f aca="false">IF(AND($A596&lt;&gt;"",$A596='Fiche plat'!$C$3),COUNTIF($A$5:$A596,'Fiche plat'!$C$3),"")</f>
        <v/>
      </c>
      <c r="I596" s="0" t="str">
        <f aca="false">IF($A596="","",IFERROR(INDEX(Plats!$D$5:$D$48,MATCH($A596,Plats!$I$5:$I$48,0)),""))</f>
        <v/>
      </c>
    </row>
    <row r="597" customFormat="false" ht="15" hidden="false" customHeight="false" outlineLevel="0" collapsed="false">
      <c r="F597" s="32" t="s">
        <v>182</v>
      </c>
      <c r="G597" s="33" t="n">
        <f aca="false">SUM(G5:G596)</f>
        <v>573.6921</v>
      </c>
    </row>
  </sheetData>
  <autoFilter ref="A4:G596"/>
  <dataValidations count="2">
    <dataValidation allowBlank="true" errorStyle="stop" operator="between" showDropDown="false" showErrorMessage="false" showInputMessage="false" sqref="B5:B596" type="list">
      <formula1>Listes!$A$1:$A$82</formula1>
      <formula2>0</formula2>
    </dataValidation>
    <dataValidation allowBlank="true" errorStyle="stop" operator="between" showDropDown="false" showErrorMessage="false" showInputMessage="false" sqref="A5:A596" type="list">
      <formula1>Listes!$B$1:$B$44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2"/>
    <col collapsed="false" customWidth="true" hidden="false" outlineLevel="0" max="3" min="3" style="0" width="11"/>
    <col collapsed="false" customWidth="true" hidden="false" outlineLevel="0" max="4" min="4" style="0" width="9"/>
    <col collapsed="false" customWidth="true" hidden="false" outlineLevel="0" max="5" min="5" style="0" width="16"/>
    <col collapsed="false" customWidth="true" hidden="false" outlineLevel="0" max="6" min="6" style="0" width="13"/>
  </cols>
  <sheetData>
    <row r="1" customFormat="false" ht="17.35" hidden="false" customHeight="false" outlineLevel="0" collapsed="false">
      <c r="A1" s="1" t="s">
        <v>183</v>
      </c>
    </row>
    <row r="3" customFormat="false" ht="15" hidden="false" customHeight="false" outlineLevel="0" collapsed="false">
      <c r="B3" s="32" t="s">
        <v>184</v>
      </c>
      <c r="C3" s="37" t="s">
        <v>87</v>
      </c>
    </row>
    <row r="4" customFormat="false" ht="15" hidden="false" customHeight="false" outlineLevel="0" collapsed="false">
      <c r="B4" s="5" t="s">
        <v>185</v>
      </c>
    </row>
    <row r="6" customFormat="false" ht="15" hidden="false" customHeight="false" outlineLevel="0" collapsed="false">
      <c r="A6" s="38" t="s">
        <v>9</v>
      </c>
      <c r="B6" s="38" t="s">
        <v>10</v>
      </c>
      <c r="C6" s="38" t="s">
        <v>84</v>
      </c>
      <c r="D6" s="38" t="s">
        <v>13</v>
      </c>
      <c r="E6" s="38" t="s">
        <v>18</v>
      </c>
      <c r="F6" s="38" t="s">
        <v>19</v>
      </c>
    </row>
    <row r="7" customFormat="false" ht="15" hidden="false" customHeight="false" outlineLevel="0" collapsed="false">
      <c r="A7" s="22" t="n">
        <v>1</v>
      </c>
      <c r="B7" s="22" t="str">
        <f aca="false">IFERROR(INDEX('Ingrédients par plat'!$B$5:$B$596,MATCH($A7,'Ingrédients par plat'!$H$5:$H$596,0)),"")</f>
        <v>Couscous moyen</v>
      </c>
      <c r="C7" s="39" t="n">
        <f aca="false">IFERROR(INDEX('Ingrédients par plat'!$C$5:$C$596,MATCH($A7,'Ingrédients par plat'!$H$5:$H$596,0)),"")</f>
        <v>500</v>
      </c>
      <c r="D7" s="22" t="str">
        <f aca="false">IFERROR(INDEX('Ingrédients par plat'!$D$5:$D$596,MATCH($A7,'Ingrédients par plat'!$H$5:$H$596,0)),"")</f>
        <v>g</v>
      </c>
      <c r="E7" s="24" t="n">
        <f aca="false">IFERROR(INDEX('Ingrédients par plat'!$E$5:$E$596,MATCH($A7,'Ingrédients par plat'!$H$5:$H$596,0)),"")</f>
        <v>3</v>
      </c>
      <c r="F7" s="24" t="n">
        <f aca="false">IFERROR(INDEX('Ingrédients par plat'!$G$5:$G$596,MATCH($A7,'Ingrédients par plat'!$H$5:$H$596,0)),"")</f>
        <v>1.5</v>
      </c>
    </row>
    <row r="8" customFormat="false" ht="15" hidden="false" customHeight="false" outlineLevel="0" collapsed="false">
      <c r="A8" s="22" t="n">
        <v>2</v>
      </c>
      <c r="B8" s="22" t="str">
        <f aca="false">IFERROR(INDEX('Ingrédients par plat'!$B$5:$B$596,MATCH($A8,'Ingrédients par plat'!$H$5:$H$596,0)),"")</f>
        <v>Poisson à chair ferme (mérou, loup, dorade)</v>
      </c>
      <c r="C8" s="39" t="n">
        <f aca="false">IFERROR(INDEX('Ingrédients par plat'!$C$5:$C$596,MATCH($A8,'Ingrédients par plat'!$H$5:$H$596,0)),"")</f>
        <v>1000</v>
      </c>
      <c r="D8" s="22" t="str">
        <f aca="false">IFERROR(INDEX('Ingrédients par plat'!$D$5:$D$596,MATCH($A8,'Ingrédients par plat'!$H$5:$H$596,0)),"")</f>
        <v>g</v>
      </c>
      <c r="E8" s="24" t="n">
        <f aca="false">IFERROR(INDEX('Ingrédients par plat'!$E$5:$E$596,MATCH($A8,'Ingrédients par plat'!$H$5:$H$596,0)),"")</f>
        <v>22</v>
      </c>
      <c r="F8" s="24" t="n">
        <f aca="false">IFERROR(INDEX('Ingrédients par plat'!$G$5:$G$596,MATCH($A8,'Ingrédients par plat'!$H$5:$H$596,0)),"")</f>
        <v>22</v>
      </c>
    </row>
    <row r="9" customFormat="false" ht="15" hidden="false" customHeight="false" outlineLevel="0" collapsed="false">
      <c r="A9" s="22" t="n">
        <v>3</v>
      </c>
      <c r="B9" s="22" t="str">
        <f aca="false">IFERROR(INDEX('Ingrédients par plat'!$B$5:$B$596,MATCH($A9,'Ingrédients par plat'!$H$5:$H$596,0)),"")</f>
        <v>Carottes</v>
      </c>
      <c r="C9" s="39" t="n">
        <f aca="false">IFERROR(INDEX('Ingrédients par plat'!$C$5:$C$596,MATCH($A9,'Ingrédients par plat'!$H$5:$H$596,0)),"")</f>
        <v>300</v>
      </c>
      <c r="D9" s="22" t="str">
        <f aca="false">IFERROR(INDEX('Ingrédients par plat'!$D$5:$D$596,MATCH($A9,'Ingrédients par plat'!$H$5:$H$596,0)),"")</f>
        <v>g</v>
      </c>
      <c r="E9" s="24" t="n">
        <f aca="false">IFERROR(INDEX('Ingrédients par plat'!$E$5:$E$596,MATCH($A9,'Ingrédients par plat'!$H$5:$H$596,0)),"")</f>
        <v>2.5</v>
      </c>
      <c r="F9" s="24" t="n">
        <f aca="false">IFERROR(INDEX('Ingrédients par plat'!$G$5:$G$596,MATCH($A9,'Ingrédients par plat'!$H$5:$H$596,0)),"")</f>
        <v>0.75</v>
      </c>
    </row>
    <row r="10" customFormat="false" ht="15" hidden="false" customHeight="false" outlineLevel="0" collapsed="false">
      <c r="A10" s="22" t="n">
        <v>4</v>
      </c>
      <c r="B10" s="22" t="str">
        <f aca="false">IFERROR(INDEX('Ingrédients par plat'!$B$5:$B$596,MATCH($A10,'Ingrédients par plat'!$H$5:$H$596,0)),"")</f>
        <v>Courgettes</v>
      </c>
      <c r="C10" s="39" t="n">
        <f aca="false">IFERROR(INDEX('Ingrédients par plat'!$C$5:$C$596,MATCH($A10,'Ingrédients par plat'!$H$5:$H$596,0)),"")</f>
        <v>300</v>
      </c>
      <c r="D10" s="22" t="str">
        <f aca="false">IFERROR(INDEX('Ingrédients par plat'!$D$5:$D$596,MATCH($A10,'Ingrédients par plat'!$H$5:$H$596,0)),"")</f>
        <v>g</v>
      </c>
      <c r="E10" s="24" t="n">
        <f aca="false">IFERROR(INDEX('Ingrédients par plat'!$E$5:$E$596,MATCH($A10,'Ingrédients par plat'!$H$5:$H$596,0)),"")</f>
        <v>2</v>
      </c>
      <c r="F10" s="24" t="n">
        <f aca="false">IFERROR(INDEX('Ingrédients par plat'!$G$5:$G$596,MATCH($A10,'Ingrédients par plat'!$H$5:$H$596,0)),"")</f>
        <v>0.6</v>
      </c>
    </row>
    <row r="11" customFormat="false" ht="15" hidden="false" customHeight="false" outlineLevel="0" collapsed="false">
      <c r="A11" s="22" t="n">
        <v>5</v>
      </c>
      <c r="B11" s="22" t="str">
        <f aca="false">IFERROR(INDEX('Ingrédients par plat'!$B$5:$B$596,MATCH($A11,'Ingrédients par plat'!$H$5:$H$596,0)),"")</f>
        <v>Pommes de terre</v>
      </c>
      <c r="C11" s="39" t="n">
        <f aca="false">IFERROR(INDEX('Ingrédients par plat'!$C$5:$C$596,MATCH($A11,'Ingrédients par plat'!$H$5:$H$596,0)),"")</f>
        <v>400</v>
      </c>
      <c r="D11" s="22" t="str">
        <f aca="false">IFERROR(INDEX('Ingrédients par plat'!$D$5:$D$596,MATCH($A11,'Ingrédients par plat'!$H$5:$H$596,0)),"")</f>
        <v>g</v>
      </c>
      <c r="E11" s="24" t="n">
        <f aca="false">IFERROR(INDEX('Ingrédients par plat'!$E$5:$E$596,MATCH($A11,'Ingrédients par plat'!$H$5:$H$596,0)),"")</f>
        <v>2.5</v>
      </c>
      <c r="F11" s="24" t="n">
        <f aca="false">IFERROR(INDEX('Ingrédients par plat'!$G$5:$G$596,MATCH($A11,'Ingrédients par plat'!$H$5:$H$596,0)),"")</f>
        <v>1</v>
      </c>
    </row>
    <row r="12" customFormat="false" ht="15" hidden="false" customHeight="false" outlineLevel="0" collapsed="false">
      <c r="A12" s="22" t="n">
        <v>6</v>
      </c>
      <c r="B12" s="22" t="str">
        <f aca="false">IFERROR(INDEX('Ingrédients par plat'!$B$5:$B$596,MATCH($A12,'Ingrédients par plat'!$H$5:$H$596,0)),"")</f>
        <v>Oignons</v>
      </c>
      <c r="C12" s="39" t="n">
        <f aca="false">IFERROR(INDEX('Ingrédients par plat'!$C$5:$C$596,MATCH($A12,'Ingrédients par plat'!$H$5:$H$596,0)),"")</f>
        <v>100</v>
      </c>
      <c r="D12" s="22" t="str">
        <f aca="false">IFERROR(INDEX('Ingrédients par plat'!$D$5:$D$596,MATCH($A12,'Ingrédients par plat'!$H$5:$H$596,0)),"")</f>
        <v>g</v>
      </c>
      <c r="E12" s="24" t="n">
        <f aca="false">IFERROR(INDEX('Ingrédients par plat'!$E$5:$E$596,MATCH($A12,'Ingrédients par plat'!$H$5:$H$596,0)),"")</f>
        <v>1.2</v>
      </c>
      <c r="F12" s="24" t="n">
        <f aca="false">IFERROR(INDEX('Ingrédients par plat'!$G$5:$G$596,MATCH($A12,'Ingrédients par plat'!$H$5:$H$596,0)),"")</f>
        <v>0.12</v>
      </c>
    </row>
    <row r="13" customFormat="false" ht="15" hidden="false" customHeight="false" outlineLevel="0" collapsed="false">
      <c r="A13" s="22" t="n">
        <v>7</v>
      </c>
      <c r="B13" s="22" t="str">
        <f aca="false">IFERROR(INDEX('Ingrédients par plat'!$B$5:$B$596,MATCH($A13,'Ingrédients par plat'!$H$5:$H$596,0)),"")</f>
        <v>Piments verts</v>
      </c>
      <c r="C13" s="39" t="n">
        <f aca="false">IFERROR(INDEX('Ingrédients par plat'!$C$5:$C$596,MATCH($A13,'Ingrédients par plat'!$H$5:$H$596,0)),"")</f>
        <v>60</v>
      </c>
      <c r="D13" s="22" t="str">
        <f aca="false">IFERROR(INDEX('Ingrédients par plat'!$D$5:$D$596,MATCH($A13,'Ingrédients par plat'!$H$5:$H$596,0)),"")</f>
        <v>g</v>
      </c>
      <c r="E13" s="24" t="n">
        <f aca="false">IFERROR(INDEX('Ingrédients par plat'!$E$5:$E$596,MATCH($A13,'Ingrédients par plat'!$H$5:$H$596,0)),"")</f>
        <v>2.5</v>
      </c>
      <c r="F13" s="24" t="n">
        <f aca="false">IFERROR(INDEX('Ingrédients par plat'!$G$5:$G$596,MATCH($A13,'Ingrédients par plat'!$H$5:$H$596,0)),"")</f>
        <v>0.15</v>
      </c>
    </row>
    <row r="14" customFormat="false" ht="15" hidden="false" customHeight="false" outlineLevel="0" collapsed="false">
      <c r="A14" s="22" t="n">
        <v>8</v>
      </c>
      <c r="B14" s="22" t="str">
        <f aca="false">IFERROR(INDEX('Ingrédients par plat'!$B$5:$B$596,MATCH($A14,'Ingrédients par plat'!$H$5:$H$596,0)),"")</f>
        <v>Concentré de tomate</v>
      </c>
      <c r="C14" s="39" t="n">
        <f aca="false">IFERROR(INDEX('Ingrédients par plat'!$C$5:$C$596,MATCH($A14,'Ingrédients par plat'!$H$5:$H$596,0)),"")</f>
        <v>40</v>
      </c>
      <c r="D14" s="22" t="str">
        <f aca="false">IFERROR(INDEX('Ingrédients par plat'!$D$5:$D$596,MATCH($A14,'Ingrédients par plat'!$H$5:$H$596,0)),"")</f>
        <v>g</v>
      </c>
      <c r="E14" s="24" t="n">
        <f aca="false">IFERROR(INDEX('Ingrédients par plat'!$E$5:$E$596,MATCH($A14,'Ingrédients par plat'!$H$5:$H$596,0)),"")</f>
        <v>9</v>
      </c>
      <c r="F14" s="24" t="n">
        <f aca="false">IFERROR(INDEX('Ingrédients par plat'!$G$5:$G$596,MATCH($A14,'Ingrédients par plat'!$H$5:$H$596,0)),"")</f>
        <v>0.36</v>
      </c>
    </row>
    <row r="15" customFormat="false" ht="15" hidden="false" customHeight="false" outlineLevel="0" collapsed="false">
      <c r="A15" s="22" t="n">
        <v>9</v>
      </c>
      <c r="B15" s="22" t="str">
        <f aca="false">IFERROR(INDEX('Ingrédients par plat'!$B$5:$B$596,MATCH($A15,'Ingrédients par plat'!$H$5:$H$596,0)),"")</f>
        <v>Harissa</v>
      </c>
      <c r="C15" s="39" t="n">
        <f aca="false">IFERROR(INDEX('Ingrédients par plat'!$C$5:$C$596,MATCH($A15,'Ingrédients par plat'!$H$5:$H$596,0)),"")</f>
        <v>15</v>
      </c>
      <c r="D15" s="22" t="str">
        <f aca="false">IFERROR(INDEX('Ingrédients par plat'!$D$5:$D$596,MATCH($A15,'Ingrédients par plat'!$H$5:$H$596,0)),"")</f>
        <v>g</v>
      </c>
      <c r="E15" s="24" t="n">
        <f aca="false">IFERROR(INDEX('Ingrédients par plat'!$E$5:$E$596,MATCH($A15,'Ingrédients par plat'!$H$5:$H$596,0)),"")</f>
        <v>11</v>
      </c>
      <c r="F15" s="24" t="n">
        <f aca="false">IFERROR(INDEX('Ingrédients par plat'!$G$5:$G$596,MATCH($A15,'Ingrédients par plat'!$H$5:$H$596,0)),"")</f>
        <v>0.165</v>
      </c>
    </row>
    <row r="16" customFormat="false" ht="15" hidden="false" customHeight="false" outlineLevel="0" collapsed="false">
      <c r="A16" s="22" t="n">
        <v>10</v>
      </c>
      <c r="B16" s="22" t="str">
        <f aca="false">IFERROR(INDEX('Ingrédients par plat'!$B$5:$B$596,MATCH($A16,'Ingrédients par plat'!$H$5:$H$596,0)),"")</f>
        <v>Ail</v>
      </c>
      <c r="C16" s="39" t="n">
        <f aca="false">IFERROR(INDEX('Ingrédients par plat'!$C$5:$C$596,MATCH($A16,'Ingrédients par plat'!$H$5:$H$596,0)),"")</f>
        <v>20</v>
      </c>
      <c r="D16" s="22" t="str">
        <f aca="false">IFERROR(INDEX('Ingrédients par plat'!$D$5:$D$596,MATCH($A16,'Ingrédients par plat'!$H$5:$H$596,0)),"")</f>
        <v>g</v>
      </c>
      <c r="E16" s="24" t="n">
        <f aca="false">IFERROR(INDEX('Ingrédients par plat'!$E$5:$E$596,MATCH($A16,'Ingrédients par plat'!$H$5:$H$596,0)),"")</f>
        <v>15</v>
      </c>
      <c r="F16" s="24" t="n">
        <f aca="false">IFERROR(INDEX('Ingrédients par plat'!$G$5:$G$596,MATCH($A16,'Ingrédients par plat'!$H$5:$H$596,0)),"")</f>
        <v>0.3</v>
      </c>
    </row>
    <row r="17" customFormat="false" ht="15" hidden="false" customHeight="false" outlineLevel="0" collapsed="false">
      <c r="A17" s="22" t="n">
        <v>11</v>
      </c>
      <c r="B17" s="22" t="str">
        <f aca="false">IFERROR(INDEX('Ingrédients par plat'!$B$5:$B$596,MATCH($A17,'Ingrédients par plat'!$H$5:$H$596,0)),"")</f>
        <v>Curcuma</v>
      </c>
      <c r="C17" s="39" t="n">
        <f aca="false">IFERROR(INDEX('Ingrédients par plat'!$C$5:$C$596,MATCH($A17,'Ingrédients par plat'!$H$5:$H$596,0)),"")</f>
        <v>3</v>
      </c>
      <c r="D17" s="22" t="str">
        <f aca="false">IFERROR(INDEX('Ingrédients par plat'!$D$5:$D$596,MATCH($A17,'Ingrédients par plat'!$H$5:$H$596,0)),"")</f>
        <v>g</v>
      </c>
      <c r="E17" s="24" t="n">
        <f aca="false">IFERROR(INDEX('Ingrédients par plat'!$E$5:$E$596,MATCH($A17,'Ingrédients par plat'!$H$5:$H$596,0)),"")</f>
        <v>40</v>
      </c>
      <c r="F17" s="24" t="n">
        <f aca="false">IFERROR(INDEX('Ingrédients par plat'!$G$5:$G$596,MATCH($A17,'Ingrédients par plat'!$H$5:$H$596,0)),"")</f>
        <v>0.12</v>
      </c>
    </row>
    <row r="18" customFormat="false" ht="15" hidden="false" customHeight="false" outlineLevel="0" collapsed="false">
      <c r="A18" s="22" t="n">
        <v>12</v>
      </c>
      <c r="B18" s="22" t="str">
        <f aca="false">IFERROR(INDEX('Ingrédients par plat'!$B$5:$B$596,MATCH($A18,'Ingrédients par plat'!$H$5:$H$596,0)),"")</f>
        <v>Carvi</v>
      </c>
      <c r="C18" s="39" t="n">
        <f aca="false">IFERROR(INDEX('Ingrédients par plat'!$C$5:$C$596,MATCH($A18,'Ingrédients par plat'!$H$5:$H$596,0)),"")</f>
        <v>2.5</v>
      </c>
      <c r="D18" s="22" t="str">
        <f aca="false">IFERROR(INDEX('Ingrédients par plat'!$D$5:$D$596,MATCH($A18,'Ingrédients par plat'!$H$5:$H$596,0)),"")</f>
        <v>g</v>
      </c>
      <c r="E18" s="24" t="n">
        <f aca="false">IFERROR(INDEX('Ingrédients par plat'!$E$5:$E$596,MATCH($A18,'Ingrédients par plat'!$H$5:$H$596,0)),"")</f>
        <v>40</v>
      </c>
      <c r="F18" s="24" t="n">
        <f aca="false">IFERROR(INDEX('Ingrédients par plat'!$G$5:$G$596,MATCH($A18,'Ingrédients par plat'!$H$5:$H$596,0)),"")</f>
        <v>0.1</v>
      </c>
    </row>
    <row r="19" customFormat="false" ht="15" hidden="false" customHeight="false" outlineLevel="0" collapsed="false">
      <c r="A19" s="22" t="n">
        <v>13</v>
      </c>
      <c r="B19" s="22" t="str">
        <f aca="false">IFERROR(INDEX('Ingrédients par plat'!$B$5:$B$596,MATCH($A19,'Ingrédients par plat'!$H$5:$H$596,0)),"")</f>
        <v>Cumin</v>
      </c>
      <c r="C19" s="39" t="n">
        <f aca="false">IFERROR(INDEX('Ingrédients par plat'!$C$5:$C$596,MATCH($A19,'Ingrédients par plat'!$H$5:$H$596,0)),"")</f>
        <v>2.5</v>
      </c>
      <c r="D19" s="22" t="str">
        <f aca="false">IFERROR(INDEX('Ingrédients par plat'!$D$5:$D$596,MATCH($A19,'Ingrédients par plat'!$H$5:$H$596,0)),"")</f>
        <v>g</v>
      </c>
      <c r="E19" s="24" t="n">
        <f aca="false">IFERROR(INDEX('Ingrédients par plat'!$E$5:$E$596,MATCH($A19,'Ingrédients par plat'!$H$5:$H$596,0)),"")</f>
        <v>50</v>
      </c>
      <c r="F19" s="24" t="n">
        <f aca="false">IFERROR(INDEX('Ingrédients par plat'!$G$5:$G$596,MATCH($A19,'Ingrédients par plat'!$H$5:$H$596,0)),"")</f>
        <v>0.125</v>
      </c>
    </row>
    <row r="20" customFormat="false" ht="15" hidden="false" customHeight="false" outlineLevel="0" collapsed="false">
      <c r="A20" s="22" t="n">
        <v>14</v>
      </c>
      <c r="B20" s="22" t="str">
        <f aca="false">IFERROR(INDEX('Ingrédients par plat'!$B$5:$B$596,MATCH($A20,'Ingrédients par plat'!$H$5:$H$596,0)),"")</f>
        <v>Huile d'olive</v>
      </c>
      <c r="C20" s="39" t="n">
        <f aca="false">IFERROR(INDEX('Ingrédients par plat'!$C$5:$C$596,MATCH($A20,'Ingrédients par plat'!$H$5:$H$596,0)),"")</f>
        <v>150</v>
      </c>
      <c r="D20" s="22" t="str">
        <f aca="false">IFERROR(INDEX('Ingrédients par plat'!$D$5:$D$596,MATCH($A20,'Ingrédients par plat'!$H$5:$H$596,0)),"")</f>
        <v>ml</v>
      </c>
      <c r="E20" s="24" t="n">
        <f aca="false">IFERROR(INDEX('Ingrédients par plat'!$E$5:$E$596,MATCH($A20,'Ingrédients par plat'!$H$5:$H$596,0)),"")</f>
        <v>12.5</v>
      </c>
      <c r="F20" s="24" t="n">
        <f aca="false">IFERROR(INDEX('Ingrédients par plat'!$G$5:$G$596,MATCH($A20,'Ingrédients par plat'!$H$5:$H$596,0)),"")</f>
        <v>1.875</v>
      </c>
    </row>
    <row r="21" customFormat="false" ht="15" hidden="false" customHeight="false" outlineLevel="0" collapsed="false">
      <c r="A21" s="22" t="n">
        <v>15</v>
      </c>
      <c r="B21" s="22" t="str">
        <f aca="false">IFERROR(INDEX('Ingrédients par plat'!$B$5:$B$596,MATCH($A21,'Ingrédients par plat'!$H$5:$H$596,0)),"")</f>
        <v>Sel</v>
      </c>
      <c r="C21" s="39" t="n">
        <f aca="false">IFERROR(INDEX('Ingrédients par plat'!$C$5:$C$596,MATCH($A21,'Ingrédients par plat'!$H$5:$H$596,0)),"")</f>
        <v>12</v>
      </c>
      <c r="D21" s="22" t="str">
        <f aca="false">IFERROR(INDEX('Ingrédients par plat'!$D$5:$D$596,MATCH($A21,'Ingrédients par plat'!$H$5:$H$596,0)),"")</f>
        <v>g</v>
      </c>
      <c r="E21" s="24" t="n">
        <f aca="false">IFERROR(INDEX('Ingrédients par plat'!$E$5:$E$596,MATCH($A21,'Ingrédients par plat'!$H$5:$H$596,0)),"")</f>
        <v>0.8</v>
      </c>
      <c r="F21" s="24" t="n">
        <f aca="false">IFERROR(INDEX('Ingrédients par plat'!$G$5:$G$596,MATCH($A21,'Ingrédients par plat'!$H$5:$H$596,0)),"")</f>
        <v>0.0096</v>
      </c>
    </row>
    <row r="22" customFormat="false" ht="15" hidden="false" customHeight="false" outlineLevel="0" collapsed="false">
      <c r="A22" s="22" t="n">
        <v>16</v>
      </c>
      <c r="B22" s="22" t="str">
        <f aca="false">IFERROR(INDEX('Ingrédients par plat'!$B$5:$B$596,MATCH($A22,'Ingrédients par plat'!$H$5:$H$596,0)),"")</f>
        <v>Poivre noir</v>
      </c>
      <c r="C22" s="39" t="n">
        <f aca="false">IFERROR(INDEX('Ingrédients par plat'!$C$5:$C$596,MATCH($A22,'Ingrédients par plat'!$H$5:$H$596,0)),"")</f>
        <v>2.5</v>
      </c>
      <c r="D22" s="22" t="str">
        <f aca="false">IFERROR(INDEX('Ingrédients par plat'!$D$5:$D$596,MATCH($A22,'Ingrédients par plat'!$H$5:$H$596,0)),"")</f>
        <v>g</v>
      </c>
      <c r="E22" s="24" t="n">
        <f aca="false">IFERROR(INDEX('Ingrédients par plat'!$E$5:$E$596,MATCH($A22,'Ingrédients par plat'!$H$5:$H$596,0)),"")</f>
        <v>50</v>
      </c>
      <c r="F22" s="24" t="n">
        <f aca="false">IFERROR(INDEX('Ingrédients par plat'!$G$5:$G$596,MATCH($A22,'Ingrédients par plat'!$H$5:$H$596,0)),"")</f>
        <v>0.125</v>
      </c>
    </row>
    <row r="23" customFormat="false" ht="15" hidden="false" customHeight="false" outlineLevel="0" collapsed="false">
      <c r="A23" s="22" t="n">
        <v>17</v>
      </c>
      <c r="B23" s="22" t="str">
        <f aca="false">IFERROR(INDEX('Ingrédients par plat'!$B$5:$B$596,MATCH($A23,'Ingrédients par plat'!$H$5:$H$596,0)),"")</f>
        <v>Citrons</v>
      </c>
      <c r="C23" s="39" t="n">
        <f aca="false">IFERROR(INDEX('Ingrédients par plat'!$C$5:$C$596,MATCH($A23,'Ingrédients par plat'!$H$5:$H$596,0)),"")</f>
        <v>100</v>
      </c>
      <c r="D23" s="22" t="str">
        <f aca="false">IFERROR(INDEX('Ingrédients par plat'!$D$5:$D$596,MATCH($A23,'Ingrédients par plat'!$H$5:$H$596,0)),"")</f>
        <v>g</v>
      </c>
      <c r="E23" s="24" t="n">
        <f aca="false">IFERROR(INDEX('Ingrédients par plat'!$E$5:$E$596,MATCH($A23,'Ingrédients par plat'!$H$5:$H$596,0)),"")</f>
        <v>3</v>
      </c>
      <c r="F23" s="24" t="n">
        <f aca="false">IFERROR(INDEX('Ingrédients par plat'!$G$5:$G$596,MATCH($A23,'Ingrédients par plat'!$H$5:$H$596,0)),"")</f>
        <v>0.3</v>
      </c>
    </row>
    <row r="24" customFormat="false" ht="15" hidden="false" customHeight="false" outlineLevel="0" collapsed="false">
      <c r="A24" s="22" t="n">
        <v>18</v>
      </c>
      <c r="B24" s="22" t="str">
        <f aca="false">IFERROR(INDEX('Ingrédients par plat'!$B$5:$B$596,MATCH($A24,'Ingrédients par plat'!$H$5:$H$596,0)),"")</f>
        <v/>
      </c>
      <c r="C24" s="39" t="str">
        <f aca="false">IFERROR(INDEX('Ingrédients par plat'!$C$5:$C$596,MATCH($A24,'Ingrédients par plat'!$H$5:$H$596,0)),"")</f>
        <v/>
      </c>
      <c r="D24" s="22" t="str">
        <f aca="false">IFERROR(INDEX('Ingrédients par plat'!$D$5:$D$596,MATCH($A24,'Ingrédients par plat'!$H$5:$H$596,0)),"")</f>
        <v/>
      </c>
      <c r="E24" s="24" t="str">
        <f aca="false">IFERROR(INDEX('Ingrédients par plat'!$E$5:$E$596,MATCH($A24,'Ingrédients par plat'!$H$5:$H$596,0)),"")</f>
        <v/>
      </c>
      <c r="F24" s="24" t="str">
        <f aca="false">IFERROR(INDEX('Ingrédients par plat'!$G$5:$G$596,MATCH($A24,'Ingrédients par plat'!$H$5:$H$596,0)),"")</f>
        <v/>
      </c>
    </row>
    <row r="25" customFormat="false" ht="15" hidden="false" customHeight="false" outlineLevel="0" collapsed="false">
      <c r="A25" s="22" t="n">
        <v>19</v>
      </c>
      <c r="B25" s="22" t="str">
        <f aca="false">IFERROR(INDEX('Ingrédients par plat'!$B$5:$B$596,MATCH($A25,'Ingrédients par plat'!$H$5:$H$596,0)),"")</f>
        <v/>
      </c>
      <c r="C25" s="39" t="str">
        <f aca="false">IFERROR(INDEX('Ingrédients par plat'!$C$5:$C$596,MATCH($A25,'Ingrédients par plat'!$H$5:$H$596,0)),"")</f>
        <v/>
      </c>
      <c r="D25" s="22" t="str">
        <f aca="false">IFERROR(INDEX('Ingrédients par plat'!$D$5:$D$596,MATCH($A25,'Ingrédients par plat'!$H$5:$H$596,0)),"")</f>
        <v/>
      </c>
      <c r="E25" s="24" t="str">
        <f aca="false">IFERROR(INDEX('Ingrédients par plat'!$E$5:$E$596,MATCH($A25,'Ingrédients par plat'!$H$5:$H$596,0)),"")</f>
        <v/>
      </c>
      <c r="F25" s="24" t="str">
        <f aca="false">IFERROR(INDEX('Ingrédients par plat'!$G$5:$G$596,MATCH($A25,'Ingrédients par plat'!$H$5:$H$596,0)),"")</f>
        <v/>
      </c>
    </row>
    <row r="26" customFormat="false" ht="15" hidden="false" customHeight="false" outlineLevel="0" collapsed="false">
      <c r="A26" s="22" t="n">
        <v>20</v>
      </c>
      <c r="B26" s="22" t="str">
        <f aca="false">IFERROR(INDEX('Ingrédients par plat'!$B$5:$B$596,MATCH($A26,'Ingrédients par plat'!$H$5:$H$596,0)),"")</f>
        <v/>
      </c>
      <c r="C26" s="39" t="str">
        <f aca="false">IFERROR(INDEX('Ingrédients par plat'!$C$5:$C$596,MATCH($A26,'Ingrédients par plat'!$H$5:$H$596,0)),"")</f>
        <v/>
      </c>
      <c r="D26" s="22" t="str">
        <f aca="false">IFERROR(INDEX('Ingrédients par plat'!$D$5:$D$596,MATCH($A26,'Ingrédients par plat'!$H$5:$H$596,0)),"")</f>
        <v/>
      </c>
      <c r="E26" s="24" t="str">
        <f aca="false">IFERROR(INDEX('Ingrédients par plat'!$E$5:$E$596,MATCH($A26,'Ingrédients par plat'!$H$5:$H$596,0)),"")</f>
        <v/>
      </c>
      <c r="F26" s="24" t="str">
        <f aca="false">IFERROR(INDEX('Ingrédients par plat'!$G$5:$G$596,MATCH($A26,'Ingrédients par plat'!$H$5:$H$596,0)),"")</f>
        <v/>
      </c>
    </row>
    <row r="27" customFormat="false" ht="15" hidden="false" customHeight="false" outlineLevel="0" collapsed="false">
      <c r="A27" s="22" t="n">
        <v>21</v>
      </c>
      <c r="B27" s="22" t="str">
        <f aca="false">IFERROR(INDEX('Ingrédients par plat'!$B$5:$B$596,MATCH($A27,'Ingrédients par plat'!$H$5:$H$596,0)),"")</f>
        <v/>
      </c>
      <c r="C27" s="39" t="str">
        <f aca="false">IFERROR(INDEX('Ingrédients par plat'!$C$5:$C$596,MATCH($A27,'Ingrédients par plat'!$H$5:$H$596,0)),"")</f>
        <v/>
      </c>
      <c r="D27" s="22" t="str">
        <f aca="false">IFERROR(INDEX('Ingrédients par plat'!$D$5:$D$596,MATCH($A27,'Ingrédients par plat'!$H$5:$H$596,0)),"")</f>
        <v/>
      </c>
      <c r="E27" s="24" t="str">
        <f aca="false">IFERROR(INDEX('Ingrédients par plat'!$E$5:$E$596,MATCH($A27,'Ingrédients par plat'!$H$5:$H$596,0)),"")</f>
        <v/>
      </c>
      <c r="F27" s="24" t="str">
        <f aca="false">IFERROR(INDEX('Ingrédients par plat'!$G$5:$G$596,MATCH($A27,'Ingrédients par plat'!$H$5:$H$596,0)),"")</f>
        <v/>
      </c>
    </row>
    <row r="28" customFormat="false" ht="15" hidden="false" customHeight="false" outlineLevel="0" collapsed="false">
      <c r="A28" s="22" t="n">
        <v>22</v>
      </c>
      <c r="B28" s="22" t="str">
        <f aca="false">IFERROR(INDEX('Ingrédients par plat'!$B$5:$B$596,MATCH($A28,'Ingrédients par plat'!$H$5:$H$596,0)),"")</f>
        <v/>
      </c>
      <c r="C28" s="39" t="str">
        <f aca="false">IFERROR(INDEX('Ingrédients par plat'!$C$5:$C$596,MATCH($A28,'Ingrédients par plat'!$H$5:$H$596,0)),"")</f>
        <v/>
      </c>
      <c r="D28" s="22" t="str">
        <f aca="false">IFERROR(INDEX('Ingrédients par plat'!$D$5:$D$596,MATCH($A28,'Ingrédients par plat'!$H$5:$H$596,0)),"")</f>
        <v/>
      </c>
      <c r="E28" s="24" t="str">
        <f aca="false">IFERROR(INDEX('Ingrédients par plat'!$E$5:$E$596,MATCH($A28,'Ingrédients par plat'!$H$5:$H$596,0)),"")</f>
        <v/>
      </c>
      <c r="F28" s="24" t="str">
        <f aca="false">IFERROR(INDEX('Ingrédients par plat'!$G$5:$G$596,MATCH($A28,'Ingrédients par plat'!$H$5:$H$596,0)),"")</f>
        <v/>
      </c>
    </row>
    <row r="29" customFormat="false" ht="15" hidden="false" customHeight="false" outlineLevel="0" collapsed="false">
      <c r="A29" s="22" t="n">
        <v>23</v>
      </c>
      <c r="B29" s="22" t="str">
        <f aca="false">IFERROR(INDEX('Ingrédients par plat'!$B$5:$B$596,MATCH($A29,'Ingrédients par plat'!$H$5:$H$596,0)),"")</f>
        <v/>
      </c>
      <c r="C29" s="39" t="str">
        <f aca="false">IFERROR(INDEX('Ingrédients par plat'!$C$5:$C$596,MATCH($A29,'Ingrédients par plat'!$H$5:$H$596,0)),"")</f>
        <v/>
      </c>
      <c r="D29" s="22" t="str">
        <f aca="false">IFERROR(INDEX('Ingrédients par plat'!$D$5:$D$596,MATCH($A29,'Ingrédients par plat'!$H$5:$H$596,0)),"")</f>
        <v/>
      </c>
      <c r="E29" s="24" t="str">
        <f aca="false">IFERROR(INDEX('Ingrédients par plat'!$E$5:$E$596,MATCH($A29,'Ingrédients par plat'!$H$5:$H$596,0)),"")</f>
        <v/>
      </c>
      <c r="F29" s="24" t="str">
        <f aca="false">IFERROR(INDEX('Ingrédients par plat'!$G$5:$G$596,MATCH($A29,'Ingrédients par plat'!$H$5:$H$596,0)),"")</f>
        <v/>
      </c>
    </row>
    <row r="30" customFormat="false" ht="15" hidden="false" customHeight="false" outlineLevel="0" collapsed="false">
      <c r="A30" s="22" t="n">
        <v>24</v>
      </c>
      <c r="B30" s="22" t="str">
        <f aca="false">IFERROR(INDEX('Ingrédients par plat'!$B$5:$B$596,MATCH($A30,'Ingrédients par plat'!$H$5:$H$596,0)),"")</f>
        <v/>
      </c>
      <c r="C30" s="39" t="str">
        <f aca="false">IFERROR(INDEX('Ingrédients par plat'!$C$5:$C$596,MATCH($A30,'Ingrédients par plat'!$H$5:$H$596,0)),"")</f>
        <v/>
      </c>
      <c r="D30" s="22" t="str">
        <f aca="false">IFERROR(INDEX('Ingrédients par plat'!$D$5:$D$596,MATCH($A30,'Ingrédients par plat'!$H$5:$H$596,0)),"")</f>
        <v/>
      </c>
      <c r="E30" s="24" t="str">
        <f aca="false">IFERROR(INDEX('Ingrédients par plat'!$E$5:$E$596,MATCH($A30,'Ingrédients par plat'!$H$5:$H$596,0)),"")</f>
        <v/>
      </c>
      <c r="F30" s="24" t="str">
        <f aca="false">IFERROR(INDEX('Ingrédients par plat'!$G$5:$G$596,MATCH($A30,'Ingrédients par plat'!$H$5:$H$596,0)),"")</f>
        <v/>
      </c>
    </row>
    <row r="31" customFormat="false" ht="15" hidden="false" customHeight="false" outlineLevel="0" collapsed="false">
      <c r="A31" s="22" t="n">
        <v>25</v>
      </c>
      <c r="B31" s="22" t="str">
        <f aca="false">IFERROR(INDEX('Ingrédients par plat'!$B$5:$B$596,MATCH($A31,'Ingrédients par plat'!$H$5:$H$596,0)),"")</f>
        <v/>
      </c>
      <c r="C31" s="39" t="str">
        <f aca="false">IFERROR(INDEX('Ingrédients par plat'!$C$5:$C$596,MATCH($A31,'Ingrédients par plat'!$H$5:$H$596,0)),"")</f>
        <v/>
      </c>
      <c r="D31" s="22" t="str">
        <f aca="false">IFERROR(INDEX('Ingrédients par plat'!$D$5:$D$596,MATCH($A31,'Ingrédients par plat'!$H$5:$H$596,0)),"")</f>
        <v/>
      </c>
      <c r="E31" s="24" t="str">
        <f aca="false">IFERROR(INDEX('Ingrédients par plat'!$E$5:$E$596,MATCH($A31,'Ingrédients par plat'!$H$5:$H$596,0)),"")</f>
        <v/>
      </c>
      <c r="F31" s="24" t="str">
        <f aca="false">IFERROR(INDEX('Ingrédients par plat'!$G$5:$G$596,MATCH($A31,'Ingrédients par plat'!$H$5:$H$596,0)),"")</f>
        <v/>
      </c>
    </row>
    <row r="32" customFormat="false" ht="15" hidden="false" customHeight="false" outlineLevel="0" collapsed="false">
      <c r="A32" s="22" t="n">
        <v>26</v>
      </c>
      <c r="B32" s="22" t="str">
        <f aca="false">IFERROR(INDEX('Ingrédients par plat'!$B$5:$B$596,MATCH($A32,'Ingrédients par plat'!$H$5:$H$596,0)),"")</f>
        <v/>
      </c>
      <c r="C32" s="39" t="str">
        <f aca="false">IFERROR(INDEX('Ingrédients par plat'!$C$5:$C$596,MATCH($A32,'Ingrédients par plat'!$H$5:$H$596,0)),"")</f>
        <v/>
      </c>
      <c r="D32" s="22" t="str">
        <f aca="false">IFERROR(INDEX('Ingrédients par plat'!$D$5:$D$596,MATCH($A32,'Ingrédients par plat'!$H$5:$H$596,0)),"")</f>
        <v/>
      </c>
      <c r="E32" s="24" t="str">
        <f aca="false">IFERROR(INDEX('Ingrédients par plat'!$E$5:$E$596,MATCH($A32,'Ingrédients par plat'!$H$5:$H$596,0)),"")</f>
        <v/>
      </c>
      <c r="F32" s="24" t="str">
        <f aca="false">IFERROR(INDEX('Ingrédients par plat'!$G$5:$G$596,MATCH($A32,'Ingrédients par plat'!$H$5:$H$596,0)),"")</f>
        <v/>
      </c>
    </row>
    <row r="33" customFormat="false" ht="15" hidden="false" customHeight="false" outlineLevel="0" collapsed="false">
      <c r="A33" s="22" t="n">
        <v>27</v>
      </c>
      <c r="B33" s="22" t="str">
        <f aca="false">IFERROR(INDEX('Ingrédients par plat'!$B$5:$B$596,MATCH($A33,'Ingrédients par plat'!$H$5:$H$596,0)),"")</f>
        <v/>
      </c>
      <c r="C33" s="39" t="str">
        <f aca="false">IFERROR(INDEX('Ingrédients par plat'!$C$5:$C$596,MATCH($A33,'Ingrédients par plat'!$H$5:$H$596,0)),"")</f>
        <v/>
      </c>
      <c r="D33" s="22" t="str">
        <f aca="false">IFERROR(INDEX('Ingrédients par plat'!$D$5:$D$596,MATCH($A33,'Ingrédients par plat'!$H$5:$H$596,0)),"")</f>
        <v/>
      </c>
      <c r="E33" s="24" t="str">
        <f aca="false">IFERROR(INDEX('Ingrédients par plat'!$E$5:$E$596,MATCH($A33,'Ingrédients par plat'!$H$5:$H$596,0)),"")</f>
        <v/>
      </c>
      <c r="F33" s="24" t="str">
        <f aca="false">IFERROR(INDEX('Ingrédients par plat'!$G$5:$G$596,MATCH($A33,'Ingrédients par plat'!$H$5:$H$596,0)),"")</f>
        <v/>
      </c>
    </row>
    <row r="34" customFormat="false" ht="15" hidden="false" customHeight="false" outlineLevel="0" collapsed="false">
      <c r="A34" s="22" t="n">
        <v>28</v>
      </c>
      <c r="B34" s="22" t="str">
        <f aca="false">IFERROR(INDEX('Ingrédients par plat'!$B$5:$B$596,MATCH($A34,'Ingrédients par plat'!$H$5:$H$596,0)),"")</f>
        <v/>
      </c>
      <c r="C34" s="39" t="str">
        <f aca="false">IFERROR(INDEX('Ingrédients par plat'!$C$5:$C$596,MATCH($A34,'Ingrédients par plat'!$H$5:$H$596,0)),"")</f>
        <v/>
      </c>
      <c r="D34" s="22" t="str">
        <f aca="false">IFERROR(INDEX('Ingrédients par plat'!$D$5:$D$596,MATCH($A34,'Ingrédients par plat'!$H$5:$H$596,0)),"")</f>
        <v/>
      </c>
      <c r="E34" s="24" t="str">
        <f aca="false">IFERROR(INDEX('Ingrédients par plat'!$E$5:$E$596,MATCH($A34,'Ingrédients par plat'!$H$5:$H$596,0)),"")</f>
        <v/>
      </c>
      <c r="F34" s="24" t="str">
        <f aca="false">IFERROR(INDEX('Ingrédients par plat'!$G$5:$G$596,MATCH($A34,'Ingrédients par plat'!$H$5:$H$596,0)),"")</f>
        <v/>
      </c>
    </row>
    <row r="35" customFormat="false" ht="15" hidden="false" customHeight="false" outlineLevel="0" collapsed="false">
      <c r="A35" s="22" t="n">
        <v>29</v>
      </c>
      <c r="B35" s="22" t="str">
        <f aca="false">IFERROR(INDEX('Ingrédients par plat'!$B$5:$B$596,MATCH($A35,'Ingrédients par plat'!$H$5:$H$596,0)),"")</f>
        <v/>
      </c>
      <c r="C35" s="39" t="str">
        <f aca="false">IFERROR(INDEX('Ingrédients par plat'!$C$5:$C$596,MATCH($A35,'Ingrédients par plat'!$H$5:$H$596,0)),"")</f>
        <v/>
      </c>
      <c r="D35" s="22" t="str">
        <f aca="false">IFERROR(INDEX('Ingrédients par plat'!$D$5:$D$596,MATCH($A35,'Ingrédients par plat'!$H$5:$H$596,0)),"")</f>
        <v/>
      </c>
      <c r="E35" s="24" t="str">
        <f aca="false">IFERROR(INDEX('Ingrédients par plat'!$E$5:$E$596,MATCH($A35,'Ingrédients par plat'!$H$5:$H$596,0)),"")</f>
        <v/>
      </c>
      <c r="F35" s="24" t="str">
        <f aca="false">IFERROR(INDEX('Ingrédients par plat'!$G$5:$G$596,MATCH($A35,'Ingrédients par plat'!$H$5:$H$596,0)),"")</f>
        <v/>
      </c>
    </row>
    <row r="36" customFormat="false" ht="15" hidden="false" customHeight="false" outlineLevel="0" collapsed="false">
      <c r="A36" s="22" t="n">
        <v>30</v>
      </c>
      <c r="B36" s="22" t="str">
        <f aca="false">IFERROR(INDEX('Ingrédients par plat'!$B$5:$B$596,MATCH($A36,'Ingrédients par plat'!$H$5:$H$596,0)),"")</f>
        <v/>
      </c>
      <c r="C36" s="39" t="str">
        <f aca="false">IFERROR(INDEX('Ingrédients par plat'!$C$5:$C$596,MATCH($A36,'Ingrédients par plat'!$H$5:$H$596,0)),"")</f>
        <v/>
      </c>
      <c r="D36" s="22" t="str">
        <f aca="false">IFERROR(INDEX('Ingrédients par plat'!$D$5:$D$596,MATCH($A36,'Ingrédients par plat'!$H$5:$H$596,0)),"")</f>
        <v/>
      </c>
      <c r="E36" s="24" t="str">
        <f aca="false">IFERROR(INDEX('Ingrédients par plat'!$E$5:$E$596,MATCH($A36,'Ingrédients par plat'!$H$5:$H$596,0)),"")</f>
        <v/>
      </c>
      <c r="F36" s="24" t="str">
        <f aca="false">IFERROR(INDEX('Ingrédients par plat'!$G$5:$G$596,MATCH($A36,'Ingrédients par plat'!$H$5:$H$596,0)),"")</f>
        <v/>
      </c>
    </row>
    <row r="37" customFormat="false" ht="15" hidden="false" customHeight="false" outlineLevel="0" collapsed="false">
      <c r="A37" s="40"/>
      <c r="B37" s="41" t="s">
        <v>186</v>
      </c>
      <c r="C37" s="40"/>
      <c r="D37" s="40"/>
      <c r="E37" s="40"/>
      <c r="F37" s="42" t="n">
        <f aca="false">SUM(F7:F36)</f>
        <v>29.5996</v>
      </c>
    </row>
    <row r="38" customFormat="false" ht="15" hidden="false" customHeight="false" outlineLevel="0" collapsed="false">
      <c r="B38" s="32" t="s">
        <v>187</v>
      </c>
      <c r="F38" s="33" t="n">
        <f aca="false">F37/4</f>
        <v>7.3999</v>
      </c>
    </row>
  </sheetData>
  <dataValidations count="1">
    <dataValidation allowBlank="false" errorStyle="stop" operator="between" showDropDown="false" showErrorMessage="false" showInputMessage="false" sqref="C3" type="list">
      <formula1>Listes!$B$1:$B$44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40"/>
    <col collapsed="false" customWidth="true" hidden="false" outlineLevel="0" max="3" min="3" style="0" width="34"/>
    <col collapsed="false" customWidth="true" hidden="false" outlineLevel="0" max="4" min="4" style="0" width="24"/>
    <col collapsed="false" customWidth="true" hidden="false" outlineLevel="0" max="5" min="5" style="0" width="26"/>
    <col collapsed="false" customWidth="true" hidden="false" outlineLevel="0" max="6" min="6" style="0" width="13"/>
    <col collapsed="false" customWidth="true" hidden="false" outlineLevel="0" max="7" min="7" style="0" width="10"/>
    <col collapsed="false" customWidth="true" hidden="false" outlineLevel="0" max="8" min="8" style="0" width="16"/>
    <col collapsed="false" customWidth="true" hidden="false" outlineLevel="0" max="9" min="9" style="0" width="11"/>
    <col collapsed="false" customWidth="true" hidden="false" outlineLevel="0" max="10" min="10" style="0" width="13"/>
  </cols>
  <sheetData>
    <row r="1" customFormat="false" ht="17.35" hidden="false" customHeight="false" outlineLevel="0" collapsed="false">
      <c r="A1" s="1" t="s">
        <v>188</v>
      </c>
    </row>
    <row r="2" customFormat="false" ht="15" hidden="false" customHeight="false" outlineLevel="0" collapsed="false">
      <c r="A2" s="5" t="s">
        <v>189</v>
      </c>
    </row>
    <row r="4" customFormat="false" ht="26.85" hidden="false" customHeight="false" outlineLevel="0" collapsed="false">
      <c r="A4" s="11" t="s">
        <v>190</v>
      </c>
      <c r="B4" s="11" t="s">
        <v>10</v>
      </c>
      <c r="C4" s="11" t="s">
        <v>11</v>
      </c>
      <c r="D4" s="11" t="s">
        <v>191</v>
      </c>
      <c r="E4" s="11" t="s">
        <v>192</v>
      </c>
      <c r="F4" s="11" t="s">
        <v>193</v>
      </c>
      <c r="G4" s="11" t="s">
        <v>13</v>
      </c>
      <c r="H4" s="11" t="s">
        <v>18</v>
      </c>
      <c r="I4" s="11" t="s">
        <v>194</v>
      </c>
      <c r="J4" s="11" t="s">
        <v>19</v>
      </c>
    </row>
    <row r="5" customFormat="false" ht="15" hidden="false" customHeight="false" outlineLevel="0" collapsed="false">
      <c r="A5" s="43" t="s">
        <v>195</v>
      </c>
      <c r="B5" s="44"/>
      <c r="C5" s="44"/>
      <c r="D5" s="44"/>
      <c r="E5" s="44"/>
      <c r="F5" s="44"/>
      <c r="G5" s="44"/>
      <c r="H5" s="44"/>
      <c r="I5" s="44"/>
      <c r="J5" s="44"/>
    </row>
    <row r="6" customFormat="false" ht="15" hidden="false" customHeight="false" outlineLevel="0" collapsed="false">
      <c r="A6" s="22" t="s">
        <v>195</v>
      </c>
      <c r="B6" s="22" t="s">
        <v>154</v>
      </c>
      <c r="C6" s="14" t="s">
        <v>196</v>
      </c>
      <c r="D6" s="22" t="s">
        <v>197</v>
      </c>
      <c r="E6" s="22" t="s">
        <v>198</v>
      </c>
      <c r="F6" s="45" t="n">
        <v>1.8</v>
      </c>
      <c r="G6" s="22" t="s">
        <v>199</v>
      </c>
      <c r="H6" s="46" t="n">
        <v>19.4</v>
      </c>
      <c r="I6" s="47"/>
      <c r="J6" s="24" t="n">
        <f aca="false">F6*H6</f>
        <v>34.92</v>
      </c>
    </row>
    <row r="7" customFormat="false" ht="15" hidden="false" customHeight="false" outlineLevel="0" collapsed="false">
      <c r="A7" s="22" t="s">
        <v>195</v>
      </c>
      <c r="B7" s="22" t="s">
        <v>127</v>
      </c>
      <c r="C7" s="14" t="s">
        <v>200</v>
      </c>
      <c r="D7" s="22" t="s">
        <v>201</v>
      </c>
      <c r="E7" s="22" t="s">
        <v>202</v>
      </c>
      <c r="F7" s="45" t="n">
        <v>3.2</v>
      </c>
      <c r="G7" s="22" t="s">
        <v>199</v>
      </c>
      <c r="H7" s="46" t="n">
        <v>14.9</v>
      </c>
      <c r="I7" s="47"/>
      <c r="J7" s="24" t="n">
        <f aca="false">F7*H7</f>
        <v>47.68</v>
      </c>
    </row>
    <row r="8" customFormat="false" ht="15" hidden="false" customHeight="false" outlineLevel="0" collapsed="false">
      <c r="A8" s="22" t="s">
        <v>195</v>
      </c>
      <c r="B8" s="22" t="s">
        <v>146</v>
      </c>
      <c r="C8" s="14" t="s">
        <v>203</v>
      </c>
      <c r="D8" s="22" t="s">
        <v>204</v>
      </c>
      <c r="E8" s="22" t="s">
        <v>205</v>
      </c>
      <c r="F8" s="45" t="n">
        <v>1.4</v>
      </c>
      <c r="G8" s="22" t="s">
        <v>199</v>
      </c>
      <c r="H8" s="46" t="n">
        <v>14.9</v>
      </c>
      <c r="I8" s="47"/>
      <c r="J8" s="24" t="n">
        <f aca="false">F8*H8</f>
        <v>20.86</v>
      </c>
    </row>
    <row r="9" customFormat="false" ht="15" hidden="false" customHeight="false" outlineLevel="0" collapsed="false">
      <c r="A9" s="22" t="s">
        <v>195</v>
      </c>
      <c r="B9" s="22" t="s">
        <v>114</v>
      </c>
      <c r="C9" s="14" t="s">
        <v>206</v>
      </c>
      <c r="D9" s="22" t="s">
        <v>207</v>
      </c>
      <c r="E9" s="22" t="s">
        <v>208</v>
      </c>
      <c r="F9" s="45" t="n">
        <v>0.65</v>
      </c>
      <c r="G9" s="22" t="s">
        <v>199</v>
      </c>
      <c r="H9" s="46" t="n">
        <v>19.4</v>
      </c>
      <c r="I9" s="47"/>
      <c r="J9" s="24" t="n">
        <f aca="false">F9*H9</f>
        <v>12.61</v>
      </c>
    </row>
    <row r="10" customFormat="false" ht="15" hidden="false" customHeight="false" outlineLevel="0" collapsed="false">
      <c r="A10" s="22" t="s">
        <v>195</v>
      </c>
      <c r="B10" s="22" t="s">
        <v>134</v>
      </c>
      <c r="C10" s="14" t="s">
        <v>209</v>
      </c>
      <c r="D10" s="22" t="s">
        <v>210</v>
      </c>
      <c r="E10" s="22" t="s">
        <v>211</v>
      </c>
      <c r="F10" s="45" t="n">
        <v>1</v>
      </c>
      <c r="G10" s="22" t="s">
        <v>199</v>
      </c>
      <c r="H10" s="46" t="n">
        <v>14.9</v>
      </c>
      <c r="I10" s="47"/>
      <c r="J10" s="24" t="n">
        <f aca="false">F10*H10</f>
        <v>14.9</v>
      </c>
    </row>
    <row r="11" customFormat="false" ht="15" hidden="false" customHeight="false" outlineLevel="0" collapsed="false">
      <c r="A11" s="22" t="s">
        <v>195</v>
      </c>
      <c r="B11" s="22" t="s">
        <v>142</v>
      </c>
      <c r="C11" s="14" t="s">
        <v>212</v>
      </c>
      <c r="D11" s="22" t="s">
        <v>213</v>
      </c>
      <c r="E11" s="22" t="s">
        <v>214</v>
      </c>
      <c r="F11" s="45" t="n">
        <v>1.3</v>
      </c>
      <c r="G11" s="22" t="s">
        <v>199</v>
      </c>
      <c r="H11" s="46" t="n">
        <v>47.5</v>
      </c>
      <c r="I11" s="47"/>
      <c r="J11" s="24" t="n">
        <f aca="false">F11*H11</f>
        <v>61.75</v>
      </c>
    </row>
    <row r="12" customFormat="false" ht="15" hidden="false" customHeight="false" outlineLevel="0" collapsed="false">
      <c r="A12" s="22" t="s">
        <v>195</v>
      </c>
      <c r="B12" s="22" t="s">
        <v>121</v>
      </c>
      <c r="C12" s="14" t="s">
        <v>215</v>
      </c>
      <c r="D12" s="22" t="s">
        <v>216</v>
      </c>
      <c r="E12" s="22" t="s">
        <v>217</v>
      </c>
      <c r="F12" s="45" t="n">
        <v>0.4</v>
      </c>
      <c r="G12" s="22" t="s">
        <v>199</v>
      </c>
      <c r="H12" s="46" t="n">
        <v>60</v>
      </c>
      <c r="I12" s="47"/>
      <c r="J12" s="24" t="n">
        <f aca="false">F12*H12</f>
        <v>24</v>
      </c>
    </row>
    <row r="13" customFormat="false" ht="15" hidden="false" customHeight="false" outlineLevel="0" collapsed="false">
      <c r="A13" s="22" t="s">
        <v>195</v>
      </c>
      <c r="B13" s="22" t="s">
        <v>152</v>
      </c>
      <c r="C13" s="14" t="s">
        <v>218</v>
      </c>
      <c r="D13" s="22" t="s">
        <v>219</v>
      </c>
      <c r="E13" s="22" t="s">
        <v>220</v>
      </c>
      <c r="F13" s="45" t="n">
        <v>0.3</v>
      </c>
      <c r="G13" s="22" t="s">
        <v>199</v>
      </c>
      <c r="H13" s="46" t="n">
        <v>45</v>
      </c>
      <c r="I13" s="47" t="s">
        <v>221</v>
      </c>
      <c r="J13" s="24" t="n">
        <f aca="false">F13*H13</f>
        <v>13.5</v>
      </c>
    </row>
    <row r="14" customFormat="false" ht="15" hidden="false" customHeight="false" outlineLevel="0" collapsed="false">
      <c r="A14" s="22" t="s">
        <v>195</v>
      </c>
      <c r="B14" s="22" t="s">
        <v>157</v>
      </c>
      <c r="C14" s="14" t="s">
        <v>222</v>
      </c>
      <c r="D14" s="22" t="s">
        <v>223</v>
      </c>
      <c r="E14" s="22" t="s">
        <v>224</v>
      </c>
      <c r="F14" s="45" t="n">
        <v>0.7</v>
      </c>
      <c r="G14" s="22" t="s">
        <v>199</v>
      </c>
      <c r="H14" s="46" t="n">
        <v>45</v>
      </c>
      <c r="I14" s="47" t="s">
        <v>221</v>
      </c>
      <c r="J14" s="24" t="n">
        <f aca="false">F14*H14</f>
        <v>31.5</v>
      </c>
    </row>
    <row r="15" customFormat="false" ht="15" hidden="false" customHeight="false" outlineLevel="0" collapsed="false">
      <c r="A15" s="22" t="s">
        <v>195</v>
      </c>
      <c r="B15" s="22" t="s">
        <v>130</v>
      </c>
      <c r="C15" s="14" t="s">
        <v>225</v>
      </c>
      <c r="D15" s="22" t="s">
        <v>226</v>
      </c>
      <c r="E15" s="22" t="s">
        <v>227</v>
      </c>
      <c r="F15" s="45" t="n">
        <v>0.5</v>
      </c>
      <c r="G15" s="22" t="s">
        <v>199</v>
      </c>
      <c r="H15" s="46" t="n">
        <v>40</v>
      </c>
      <c r="I15" s="47" t="s">
        <v>221</v>
      </c>
      <c r="J15" s="24" t="n">
        <f aca="false">F15*H15</f>
        <v>20</v>
      </c>
    </row>
    <row r="16" customFormat="false" ht="15" hidden="false" customHeight="false" outlineLevel="0" collapsed="false">
      <c r="A16" s="22" t="s">
        <v>195</v>
      </c>
      <c r="B16" s="22" t="s">
        <v>89</v>
      </c>
      <c r="C16" s="14" t="s">
        <v>228</v>
      </c>
      <c r="D16" s="22" t="s">
        <v>210</v>
      </c>
      <c r="E16" s="22" t="s">
        <v>229</v>
      </c>
      <c r="F16" s="45" t="n">
        <v>1</v>
      </c>
      <c r="G16" s="22" t="s">
        <v>199</v>
      </c>
      <c r="H16" s="46" t="n">
        <v>22</v>
      </c>
      <c r="I16" s="47"/>
      <c r="J16" s="24" t="n">
        <f aca="false">F16*H16</f>
        <v>22</v>
      </c>
    </row>
    <row r="17" customFormat="false" ht="15" hidden="false" customHeight="false" outlineLevel="0" collapsed="false">
      <c r="A17" s="22" t="s">
        <v>195</v>
      </c>
      <c r="B17" s="22" t="s">
        <v>172</v>
      </c>
      <c r="C17" s="14" t="s">
        <v>230</v>
      </c>
      <c r="D17" s="22" t="s">
        <v>231</v>
      </c>
      <c r="E17" s="22" t="s">
        <v>232</v>
      </c>
      <c r="F17" s="45" t="n">
        <v>0.6</v>
      </c>
      <c r="G17" s="22" t="s">
        <v>199</v>
      </c>
      <c r="H17" s="46" t="n">
        <v>18</v>
      </c>
      <c r="I17" s="47" t="s">
        <v>221</v>
      </c>
      <c r="J17" s="24" t="n">
        <f aca="false">F17*H17</f>
        <v>10.8</v>
      </c>
    </row>
    <row r="18" customFormat="false" ht="15" hidden="false" customHeight="false" outlineLevel="0" collapsed="false">
      <c r="A18" s="22" t="s">
        <v>195</v>
      </c>
      <c r="B18" s="22" t="s">
        <v>109</v>
      </c>
      <c r="C18" s="14" t="s">
        <v>233</v>
      </c>
      <c r="D18" s="22" t="s">
        <v>234</v>
      </c>
      <c r="E18" s="22" t="s">
        <v>235</v>
      </c>
      <c r="F18" s="45" t="n">
        <v>6</v>
      </c>
      <c r="G18" s="22" t="s">
        <v>236</v>
      </c>
      <c r="H18" s="46" t="n">
        <v>4.5</v>
      </c>
      <c r="I18" s="47" t="s">
        <v>221</v>
      </c>
      <c r="J18" s="24" t="n">
        <f aca="false">F18*H18</f>
        <v>27</v>
      </c>
    </row>
    <row r="19" customFormat="false" ht="15" hidden="false" customHeight="false" outlineLevel="0" collapsed="false">
      <c r="A19" s="22" t="s">
        <v>195</v>
      </c>
      <c r="B19" s="22" t="s">
        <v>110</v>
      </c>
      <c r="C19" s="14" t="s">
        <v>237</v>
      </c>
      <c r="D19" s="22" t="s">
        <v>238</v>
      </c>
      <c r="E19" s="22" t="s">
        <v>239</v>
      </c>
      <c r="F19" s="45" t="n">
        <v>55</v>
      </c>
      <c r="G19" s="22" t="s">
        <v>240</v>
      </c>
      <c r="H19" s="46" t="n">
        <v>0.3</v>
      </c>
      <c r="I19" s="47"/>
      <c r="J19" s="24" t="n">
        <f aca="false">F19*H19</f>
        <v>16.5</v>
      </c>
    </row>
    <row r="20" customFormat="false" ht="15" hidden="false" customHeight="false" outlineLevel="0" collapsed="false">
      <c r="A20" s="22" t="s">
        <v>195</v>
      </c>
      <c r="B20" s="22" t="s">
        <v>115</v>
      </c>
      <c r="C20" s="14" t="s">
        <v>241</v>
      </c>
      <c r="D20" s="22" t="s">
        <v>242</v>
      </c>
      <c r="E20" s="22" t="s">
        <v>243</v>
      </c>
      <c r="F20" s="45" t="n">
        <v>0.36</v>
      </c>
      <c r="G20" s="22" t="s">
        <v>199</v>
      </c>
      <c r="H20" s="46" t="n">
        <v>30</v>
      </c>
      <c r="I20" s="47" t="s">
        <v>221</v>
      </c>
      <c r="J20" s="24" t="n">
        <f aca="false">F20*H20</f>
        <v>10.8</v>
      </c>
    </row>
    <row r="21" customFormat="false" ht="15" hidden="false" customHeight="false" outlineLevel="0" collapsed="false">
      <c r="A21" s="48"/>
      <c r="B21" s="49" t="s">
        <v>244</v>
      </c>
      <c r="C21" s="48"/>
      <c r="D21" s="48"/>
      <c r="E21" s="48"/>
      <c r="F21" s="48"/>
      <c r="G21" s="48"/>
      <c r="H21" s="48"/>
      <c r="I21" s="48"/>
      <c r="J21" s="50" t="n">
        <f aca="false">SUBTOTAL(9,J6:J20)</f>
        <v>368.82</v>
      </c>
    </row>
    <row r="22" customFormat="false" ht="15" hidden="false" customHeight="false" outlineLevel="0" collapsed="false">
      <c r="A22" s="43" t="s">
        <v>245</v>
      </c>
      <c r="B22" s="44"/>
      <c r="C22" s="44"/>
      <c r="D22" s="44"/>
      <c r="E22" s="44"/>
      <c r="F22" s="44"/>
      <c r="G22" s="44"/>
      <c r="H22" s="44"/>
      <c r="I22" s="44"/>
      <c r="J22" s="44"/>
    </row>
    <row r="23" customFormat="false" ht="15" hidden="false" customHeight="false" outlineLevel="0" collapsed="false">
      <c r="A23" s="22" t="s">
        <v>245</v>
      </c>
      <c r="B23" s="22" t="s">
        <v>92</v>
      </c>
      <c r="C23" s="14" t="s">
        <v>246</v>
      </c>
      <c r="D23" s="22" t="s">
        <v>247</v>
      </c>
      <c r="E23" s="22" t="s">
        <v>248</v>
      </c>
      <c r="F23" s="45" t="n">
        <v>5.7</v>
      </c>
      <c r="G23" s="22" t="s">
        <v>199</v>
      </c>
      <c r="H23" s="46" t="n">
        <v>2.5</v>
      </c>
      <c r="I23" s="47"/>
      <c r="J23" s="24" t="n">
        <f aca="false">F23*H23</f>
        <v>14.25</v>
      </c>
    </row>
    <row r="24" customFormat="false" ht="15" hidden="false" customHeight="false" outlineLevel="0" collapsed="false">
      <c r="A24" s="22" t="s">
        <v>245</v>
      </c>
      <c r="B24" s="22" t="s">
        <v>108</v>
      </c>
      <c r="C24" s="14" t="s">
        <v>249</v>
      </c>
      <c r="D24" s="22" t="s">
        <v>250</v>
      </c>
      <c r="E24" s="22" t="s">
        <v>251</v>
      </c>
      <c r="F24" s="45" t="n">
        <v>4.7</v>
      </c>
      <c r="G24" s="22" t="s">
        <v>199</v>
      </c>
      <c r="H24" s="46" t="n">
        <v>2</v>
      </c>
      <c r="I24" s="47"/>
      <c r="J24" s="24" t="n">
        <f aca="false">F24*H24</f>
        <v>9.4</v>
      </c>
    </row>
    <row r="25" customFormat="false" ht="15" hidden="false" customHeight="false" outlineLevel="0" collapsed="false">
      <c r="A25" s="22" t="s">
        <v>245</v>
      </c>
      <c r="B25" s="22" t="s">
        <v>93</v>
      </c>
      <c r="C25" s="14" t="s">
        <v>252</v>
      </c>
      <c r="D25" s="22" t="s">
        <v>253</v>
      </c>
      <c r="E25" s="22" t="s">
        <v>254</v>
      </c>
      <c r="F25" s="45" t="n">
        <v>2.6</v>
      </c>
      <c r="G25" s="22" t="s">
        <v>199</v>
      </c>
      <c r="H25" s="46" t="n">
        <v>1.2</v>
      </c>
      <c r="I25" s="47"/>
      <c r="J25" s="24" t="n">
        <f aca="false">F25*H25</f>
        <v>3.12</v>
      </c>
    </row>
    <row r="26" customFormat="false" ht="15" hidden="false" customHeight="false" outlineLevel="0" collapsed="false">
      <c r="A26" s="22" t="s">
        <v>245</v>
      </c>
      <c r="B26" s="22" t="s">
        <v>97</v>
      </c>
      <c r="C26" s="14" t="s">
        <v>255</v>
      </c>
      <c r="D26" s="22" t="s">
        <v>256</v>
      </c>
      <c r="E26" s="22" t="s">
        <v>257</v>
      </c>
      <c r="F26" s="45" t="n">
        <v>0.37</v>
      </c>
      <c r="G26" s="22" t="s">
        <v>199</v>
      </c>
      <c r="H26" s="46" t="n">
        <v>15</v>
      </c>
      <c r="I26" s="47" t="s">
        <v>221</v>
      </c>
      <c r="J26" s="24" t="n">
        <f aca="false">F26*H26</f>
        <v>5.55</v>
      </c>
    </row>
    <row r="27" customFormat="false" ht="15" hidden="false" customHeight="false" outlineLevel="0" collapsed="false">
      <c r="A27" s="22" t="s">
        <v>245</v>
      </c>
      <c r="B27" s="22" t="s">
        <v>90</v>
      </c>
      <c r="C27" s="14" t="s">
        <v>258</v>
      </c>
      <c r="D27" s="22" t="s">
        <v>259</v>
      </c>
      <c r="E27" s="22" t="s">
        <v>260</v>
      </c>
      <c r="F27" s="45" t="n">
        <v>1.5</v>
      </c>
      <c r="G27" s="22" t="s">
        <v>199</v>
      </c>
      <c r="H27" s="46" t="n">
        <v>2.5</v>
      </c>
      <c r="I27" s="47"/>
      <c r="J27" s="24" t="n">
        <f aca="false">F27*H27</f>
        <v>3.75</v>
      </c>
    </row>
    <row r="28" customFormat="false" ht="15" hidden="false" customHeight="false" outlineLevel="0" collapsed="false">
      <c r="A28" s="22" t="s">
        <v>245</v>
      </c>
      <c r="B28" s="22" t="s">
        <v>91</v>
      </c>
      <c r="C28" s="14" t="s">
        <v>261</v>
      </c>
      <c r="D28" s="22" t="s">
        <v>262</v>
      </c>
      <c r="E28" s="22" t="s">
        <v>263</v>
      </c>
      <c r="F28" s="45" t="n">
        <v>1.8</v>
      </c>
      <c r="G28" s="22" t="s">
        <v>199</v>
      </c>
      <c r="H28" s="46" t="n">
        <v>2</v>
      </c>
      <c r="I28" s="47"/>
      <c r="J28" s="24" t="n">
        <f aca="false">F28*H28</f>
        <v>3.6</v>
      </c>
    </row>
    <row r="29" customFormat="false" ht="15" hidden="false" customHeight="false" outlineLevel="0" collapsed="false">
      <c r="A29" s="22" t="s">
        <v>245</v>
      </c>
      <c r="B29" s="22" t="s">
        <v>106</v>
      </c>
      <c r="C29" s="14" t="s">
        <v>264</v>
      </c>
      <c r="D29" s="22" t="s">
        <v>265</v>
      </c>
      <c r="E29" s="22" t="s">
        <v>266</v>
      </c>
      <c r="F29" s="45" t="n">
        <v>1.6</v>
      </c>
      <c r="G29" s="22" t="s">
        <v>199</v>
      </c>
      <c r="H29" s="46" t="n">
        <v>2.5</v>
      </c>
      <c r="I29" s="47"/>
      <c r="J29" s="24" t="n">
        <f aca="false">F29*H29</f>
        <v>4</v>
      </c>
    </row>
    <row r="30" customFormat="false" ht="15" hidden="false" customHeight="false" outlineLevel="0" collapsed="false">
      <c r="A30" s="22" t="s">
        <v>245</v>
      </c>
      <c r="B30" s="22" t="s">
        <v>94</v>
      </c>
      <c r="C30" s="14" t="s">
        <v>267</v>
      </c>
      <c r="D30" s="22" t="s">
        <v>268</v>
      </c>
      <c r="E30" s="22" t="s">
        <v>269</v>
      </c>
      <c r="F30" s="45" t="n">
        <v>0.5</v>
      </c>
      <c r="G30" s="22" t="s">
        <v>199</v>
      </c>
      <c r="H30" s="46" t="n">
        <v>2.5</v>
      </c>
      <c r="I30" s="47"/>
      <c r="J30" s="24" t="n">
        <f aca="false">F30*H30</f>
        <v>1.25</v>
      </c>
    </row>
    <row r="31" customFormat="false" ht="15" hidden="false" customHeight="false" outlineLevel="0" collapsed="false">
      <c r="A31" s="22" t="s">
        <v>245</v>
      </c>
      <c r="B31" s="22" t="s">
        <v>107</v>
      </c>
      <c r="C31" s="14" t="s">
        <v>270</v>
      </c>
      <c r="D31" s="22" t="s">
        <v>271</v>
      </c>
      <c r="E31" s="22" t="s">
        <v>272</v>
      </c>
      <c r="F31" s="45" t="n">
        <v>0.08</v>
      </c>
      <c r="G31" s="22" t="s">
        <v>199</v>
      </c>
      <c r="H31" s="46" t="n">
        <v>3.3</v>
      </c>
      <c r="I31" s="47"/>
      <c r="J31" s="24" t="n">
        <f aca="false">F31*H31</f>
        <v>0.264</v>
      </c>
    </row>
    <row r="32" customFormat="false" ht="15" hidden="false" customHeight="false" outlineLevel="0" collapsed="false">
      <c r="A32" s="22" t="s">
        <v>245</v>
      </c>
      <c r="B32" s="22" t="s">
        <v>150</v>
      </c>
      <c r="C32" s="14" t="s">
        <v>273</v>
      </c>
      <c r="D32" s="22" t="s">
        <v>274</v>
      </c>
      <c r="E32" s="22" t="s">
        <v>275</v>
      </c>
      <c r="F32" s="45" t="n">
        <v>0.9</v>
      </c>
      <c r="G32" s="22" t="s">
        <v>199</v>
      </c>
      <c r="H32" s="46" t="n">
        <v>1.5</v>
      </c>
      <c r="I32" s="47"/>
      <c r="J32" s="24" t="n">
        <f aca="false">F32*H32</f>
        <v>1.35</v>
      </c>
    </row>
    <row r="33" customFormat="false" ht="15" hidden="false" customHeight="false" outlineLevel="0" collapsed="false">
      <c r="A33" s="22" t="s">
        <v>245</v>
      </c>
      <c r="B33" s="22" t="s">
        <v>139</v>
      </c>
      <c r="C33" s="14" t="s">
        <v>276</v>
      </c>
      <c r="D33" s="22" t="s">
        <v>277</v>
      </c>
      <c r="E33" s="22" t="s">
        <v>278</v>
      </c>
      <c r="F33" s="45" t="n">
        <v>1.6</v>
      </c>
      <c r="G33" s="22" t="s">
        <v>199</v>
      </c>
      <c r="H33" s="46" t="n">
        <v>2.5</v>
      </c>
      <c r="I33" s="47" t="s">
        <v>221</v>
      </c>
      <c r="J33" s="24" t="n">
        <f aca="false">F33*H33</f>
        <v>4</v>
      </c>
    </row>
    <row r="34" customFormat="false" ht="15" hidden="false" customHeight="false" outlineLevel="0" collapsed="false">
      <c r="A34" s="22" t="s">
        <v>245</v>
      </c>
      <c r="B34" s="22" t="s">
        <v>138</v>
      </c>
      <c r="C34" s="14" t="s">
        <v>279</v>
      </c>
      <c r="D34" s="22" t="s">
        <v>280</v>
      </c>
      <c r="E34" s="22" t="s">
        <v>281</v>
      </c>
      <c r="F34" s="45" t="n">
        <v>4</v>
      </c>
      <c r="G34" s="22" t="s">
        <v>282</v>
      </c>
      <c r="H34" s="46" t="n">
        <v>1</v>
      </c>
      <c r="I34" s="47" t="s">
        <v>221</v>
      </c>
      <c r="J34" s="24" t="n">
        <f aca="false">F34*H34</f>
        <v>4</v>
      </c>
    </row>
    <row r="35" customFormat="false" ht="15" hidden="false" customHeight="false" outlineLevel="0" collapsed="false">
      <c r="A35" s="22" t="s">
        <v>245</v>
      </c>
      <c r="B35" s="22" t="s">
        <v>158</v>
      </c>
      <c r="C35" s="14" t="s">
        <v>283</v>
      </c>
      <c r="D35" s="22" t="s">
        <v>231</v>
      </c>
      <c r="E35" s="22" t="s">
        <v>284</v>
      </c>
      <c r="F35" s="45" t="n">
        <v>0.6</v>
      </c>
      <c r="G35" s="22" t="s">
        <v>199</v>
      </c>
      <c r="H35" s="46" t="n">
        <v>4</v>
      </c>
      <c r="I35" s="47"/>
      <c r="J35" s="24" t="n">
        <f aca="false">F35*H35</f>
        <v>2.4</v>
      </c>
    </row>
    <row r="36" customFormat="false" ht="15" hidden="false" customHeight="false" outlineLevel="0" collapsed="false">
      <c r="A36" s="22" t="s">
        <v>245</v>
      </c>
      <c r="B36" s="22" t="s">
        <v>128</v>
      </c>
      <c r="C36" s="14" t="s">
        <v>285</v>
      </c>
      <c r="D36" s="22" t="s">
        <v>223</v>
      </c>
      <c r="E36" s="22" t="s">
        <v>286</v>
      </c>
      <c r="F36" s="45" t="n">
        <v>0.7</v>
      </c>
      <c r="G36" s="22" t="s">
        <v>199</v>
      </c>
      <c r="H36" s="46" t="n">
        <v>3.4</v>
      </c>
      <c r="I36" s="47"/>
      <c r="J36" s="24" t="n">
        <f aca="false">F36*H36</f>
        <v>2.38</v>
      </c>
    </row>
    <row r="37" customFormat="false" ht="15" hidden="false" customHeight="false" outlineLevel="0" collapsed="false">
      <c r="A37" s="22" t="s">
        <v>245</v>
      </c>
      <c r="B37" s="22" t="s">
        <v>123</v>
      </c>
      <c r="C37" s="14" t="s">
        <v>287</v>
      </c>
      <c r="D37" s="22" t="s">
        <v>288</v>
      </c>
      <c r="E37" s="22" t="s">
        <v>289</v>
      </c>
      <c r="F37" s="45" t="n">
        <v>1</v>
      </c>
      <c r="G37" s="22" t="s">
        <v>290</v>
      </c>
      <c r="H37" s="46" t="n">
        <v>1</v>
      </c>
      <c r="I37" s="47" t="s">
        <v>221</v>
      </c>
      <c r="J37" s="24" t="n">
        <f aca="false">F37*H37</f>
        <v>1</v>
      </c>
    </row>
    <row r="38" customFormat="false" ht="15" hidden="false" customHeight="false" outlineLevel="0" collapsed="false">
      <c r="A38" s="22" t="s">
        <v>245</v>
      </c>
      <c r="B38" s="22" t="s">
        <v>116</v>
      </c>
      <c r="C38" s="14" t="s">
        <v>291</v>
      </c>
      <c r="D38" s="22" t="s">
        <v>292</v>
      </c>
      <c r="E38" s="22" t="s">
        <v>293</v>
      </c>
      <c r="F38" s="45" t="n">
        <v>5</v>
      </c>
      <c r="G38" s="22" t="s">
        <v>290</v>
      </c>
      <c r="H38" s="46" t="n">
        <v>0.8</v>
      </c>
      <c r="I38" s="47"/>
      <c r="J38" s="24" t="n">
        <f aca="false">F38*H38</f>
        <v>4</v>
      </c>
    </row>
    <row r="39" customFormat="false" ht="15" hidden="false" customHeight="false" outlineLevel="0" collapsed="false">
      <c r="A39" s="22" t="s">
        <v>245</v>
      </c>
      <c r="B39" s="22" t="s">
        <v>169</v>
      </c>
      <c r="C39" s="14" t="s">
        <v>294</v>
      </c>
      <c r="D39" s="22" t="s">
        <v>295</v>
      </c>
      <c r="E39" s="22" t="s">
        <v>296</v>
      </c>
      <c r="F39" s="45" t="n">
        <v>1</v>
      </c>
      <c r="G39" s="22" t="s">
        <v>290</v>
      </c>
      <c r="H39" s="46" t="n">
        <v>1</v>
      </c>
      <c r="I39" s="47" t="s">
        <v>221</v>
      </c>
      <c r="J39" s="24" t="n">
        <f aca="false">F39*H39</f>
        <v>1</v>
      </c>
    </row>
    <row r="40" customFormat="false" ht="15" hidden="false" customHeight="false" outlineLevel="0" collapsed="false">
      <c r="A40" s="22" t="s">
        <v>245</v>
      </c>
      <c r="B40" s="22" t="s">
        <v>104</v>
      </c>
      <c r="C40" s="14" t="s">
        <v>297</v>
      </c>
      <c r="D40" s="22" t="s">
        <v>259</v>
      </c>
      <c r="E40" s="22" t="s">
        <v>298</v>
      </c>
      <c r="F40" s="45" t="n">
        <v>1.5</v>
      </c>
      <c r="G40" s="22" t="s">
        <v>199</v>
      </c>
      <c r="H40" s="46" t="n">
        <v>3</v>
      </c>
      <c r="I40" s="47" t="s">
        <v>221</v>
      </c>
      <c r="J40" s="24" t="n">
        <f aca="false">F40*H40</f>
        <v>4.5</v>
      </c>
    </row>
    <row r="41" customFormat="false" ht="15" hidden="false" customHeight="false" outlineLevel="0" collapsed="false">
      <c r="A41" s="48"/>
      <c r="B41" s="49" t="s">
        <v>299</v>
      </c>
      <c r="C41" s="48"/>
      <c r="D41" s="48"/>
      <c r="E41" s="48"/>
      <c r="F41" s="48"/>
      <c r="G41" s="48"/>
      <c r="H41" s="48"/>
      <c r="I41" s="48"/>
      <c r="J41" s="50" t="n">
        <f aca="false">SUBTOTAL(9,J23:J40)</f>
        <v>69.814</v>
      </c>
    </row>
    <row r="42" customFormat="false" ht="15" hidden="false" customHeight="false" outlineLevel="0" collapsed="false">
      <c r="A42" s="43" t="s">
        <v>300</v>
      </c>
      <c r="B42" s="44"/>
      <c r="C42" s="44"/>
      <c r="D42" s="44"/>
      <c r="E42" s="44"/>
      <c r="F42" s="44"/>
      <c r="G42" s="44"/>
      <c r="H42" s="44"/>
      <c r="I42" s="44"/>
      <c r="J42" s="44"/>
    </row>
    <row r="43" customFormat="false" ht="15" hidden="false" customHeight="false" outlineLevel="0" collapsed="false">
      <c r="A43" s="22" t="s">
        <v>300</v>
      </c>
      <c r="B43" s="22" t="s">
        <v>177</v>
      </c>
      <c r="C43" s="14" t="s">
        <v>301</v>
      </c>
      <c r="D43" s="22" t="s">
        <v>302</v>
      </c>
      <c r="E43" s="22" t="s">
        <v>303</v>
      </c>
      <c r="F43" s="45" t="n">
        <v>3</v>
      </c>
      <c r="G43" s="22" t="s">
        <v>199</v>
      </c>
      <c r="H43" s="46" t="n">
        <v>3.99</v>
      </c>
      <c r="I43" s="47"/>
      <c r="J43" s="24" t="n">
        <f aca="false">F43*H43</f>
        <v>11.97</v>
      </c>
    </row>
    <row r="44" customFormat="false" ht="15" hidden="false" customHeight="false" outlineLevel="0" collapsed="false">
      <c r="A44" s="22" t="s">
        <v>300</v>
      </c>
      <c r="B44" s="22" t="s">
        <v>178</v>
      </c>
      <c r="C44" s="14" t="s">
        <v>304</v>
      </c>
      <c r="D44" s="22" t="s">
        <v>305</v>
      </c>
      <c r="E44" s="22" t="s">
        <v>303</v>
      </c>
      <c r="F44" s="45" t="n">
        <v>2</v>
      </c>
      <c r="G44" s="22" t="s">
        <v>199</v>
      </c>
      <c r="H44" s="46" t="n">
        <v>3.99</v>
      </c>
      <c r="I44" s="47"/>
      <c r="J44" s="24" t="n">
        <f aca="false">F44*H44</f>
        <v>7.98</v>
      </c>
    </row>
    <row r="45" customFormat="false" ht="15" hidden="false" customHeight="false" outlineLevel="0" collapsed="false">
      <c r="A45" s="22" t="s">
        <v>300</v>
      </c>
      <c r="B45" s="22" t="s">
        <v>179</v>
      </c>
      <c r="C45" s="14" t="s">
        <v>306</v>
      </c>
      <c r="D45" s="22" t="s">
        <v>307</v>
      </c>
      <c r="E45" s="22" t="s">
        <v>303</v>
      </c>
      <c r="F45" s="45" t="n">
        <v>2</v>
      </c>
      <c r="G45" s="22" t="s">
        <v>199</v>
      </c>
      <c r="H45" s="46" t="n">
        <v>4.9</v>
      </c>
      <c r="I45" s="47"/>
      <c r="J45" s="24" t="n">
        <f aca="false">F45*H45</f>
        <v>9.8</v>
      </c>
    </row>
    <row r="46" customFormat="false" ht="15" hidden="false" customHeight="false" outlineLevel="0" collapsed="false">
      <c r="A46" s="22" t="s">
        <v>300</v>
      </c>
      <c r="B46" s="22" t="s">
        <v>180</v>
      </c>
      <c r="C46" s="14" t="s">
        <v>308</v>
      </c>
      <c r="D46" s="22" t="s">
        <v>309</v>
      </c>
      <c r="E46" s="22" t="s">
        <v>303</v>
      </c>
      <c r="F46" s="45" t="n">
        <v>2</v>
      </c>
      <c r="G46" s="22" t="s">
        <v>199</v>
      </c>
      <c r="H46" s="46" t="n">
        <v>7</v>
      </c>
      <c r="I46" s="47" t="s">
        <v>221</v>
      </c>
      <c r="J46" s="24" t="n">
        <f aca="false">F46*H46</f>
        <v>14</v>
      </c>
    </row>
    <row r="47" customFormat="false" ht="15" hidden="false" customHeight="false" outlineLevel="0" collapsed="false">
      <c r="A47" s="22" t="s">
        <v>300</v>
      </c>
      <c r="B47" s="22" t="s">
        <v>181</v>
      </c>
      <c r="C47" s="14" t="s">
        <v>310</v>
      </c>
      <c r="D47" s="22" t="s">
        <v>210</v>
      </c>
      <c r="E47" s="22" t="s">
        <v>303</v>
      </c>
      <c r="F47" s="45" t="n">
        <v>1</v>
      </c>
      <c r="G47" s="22" t="s">
        <v>199</v>
      </c>
      <c r="H47" s="46" t="n">
        <v>5.17</v>
      </c>
      <c r="I47" s="47"/>
      <c r="J47" s="24" t="n">
        <f aca="false">F47*H47</f>
        <v>5.17</v>
      </c>
    </row>
    <row r="48" customFormat="false" ht="15" hidden="false" customHeight="false" outlineLevel="0" collapsed="false">
      <c r="A48" s="48"/>
      <c r="B48" s="49" t="s">
        <v>311</v>
      </c>
      <c r="C48" s="48"/>
      <c r="D48" s="48"/>
      <c r="E48" s="48"/>
      <c r="F48" s="48"/>
      <c r="G48" s="48"/>
      <c r="H48" s="48"/>
      <c r="I48" s="48"/>
      <c r="J48" s="50" t="n">
        <f aca="false">SUBTOTAL(9,J43:J47)</f>
        <v>48.92</v>
      </c>
    </row>
    <row r="49" customFormat="false" ht="15" hidden="false" customHeight="false" outlineLevel="0" collapsed="false">
      <c r="A49" s="43" t="s">
        <v>312</v>
      </c>
      <c r="B49" s="44"/>
      <c r="C49" s="44"/>
      <c r="D49" s="44"/>
      <c r="E49" s="44"/>
      <c r="F49" s="44"/>
      <c r="G49" s="44"/>
      <c r="H49" s="44"/>
      <c r="I49" s="44"/>
      <c r="J49" s="44"/>
    </row>
    <row r="50" customFormat="false" ht="15" hidden="false" customHeight="false" outlineLevel="0" collapsed="false">
      <c r="A50" s="22" t="s">
        <v>312</v>
      </c>
      <c r="B50" s="22" t="s">
        <v>88</v>
      </c>
      <c r="C50" s="14" t="s">
        <v>313</v>
      </c>
      <c r="D50" s="22" t="s">
        <v>210</v>
      </c>
      <c r="E50" s="22" t="s">
        <v>314</v>
      </c>
      <c r="F50" s="45" t="n">
        <v>1</v>
      </c>
      <c r="G50" s="22" t="s">
        <v>199</v>
      </c>
      <c r="H50" s="46" t="n">
        <v>3</v>
      </c>
      <c r="I50" s="47" t="s">
        <v>221</v>
      </c>
      <c r="J50" s="24" t="n">
        <f aca="false">F50*H50</f>
        <v>3</v>
      </c>
    </row>
    <row r="51" customFormat="false" ht="15" hidden="false" customHeight="false" outlineLevel="0" collapsed="false">
      <c r="A51" s="22" t="s">
        <v>312</v>
      </c>
      <c r="B51" s="22" t="s">
        <v>133</v>
      </c>
      <c r="C51" s="14" t="s">
        <v>315</v>
      </c>
      <c r="D51" s="22" t="s">
        <v>316</v>
      </c>
      <c r="E51" s="22" t="s">
        <v>211</v>
      </c>
      <c r="F51" s="45" t="n">
        <v>0.8</v>
      </c>
      <c r="G51" s="22" t="s">
        <v>199</v>
      </c>
      <c r="H51" s="46" t="n">
        <v>3.1</v>
      </c>
      <c r="I51" s="47" t="s">
        <v>221</v>
      </c>
      <c r="J51" s="24" t="n">
        <f aca="false">F51*H51</f>
        <v>2.48</v>
      </c>
    </row>
    <row r="52" customFormat="false" ht="15" hidden="false" customHeight="false" outlineLevel="0" collapsed="false">
      <c r="A52" s="22" t="s">
        <v>312</v>
      </c>
      <c r="B52" s="22" t="s">
        <v>156</v>
      </c>
      <c r="C52" s="14" t="s">
        <v>317</v>
      </c>
      <c r="D52" s="22" t="s">
        <v>207</v>
      </c>
      <c r="E52" s="22" t="s">
        <v>318</v>
      </c>
      <c r="F52" s="45" t="n">
        <v>0.65</v>
      </c>
      <c r="G52" s="22" t="s">
        <v>199</v>
      </c>
      <c r="H52" s="46" t="n">
        <v>5</v>
      </c>
      <c r="I52" s="47" t="s">
        <v>221</v>
      </c>
      <c r="J52" s="24" t="n">
        <f aca="false">F52*H52</f>
        <v>3.25</v>
      </c>
    </row>
    <row r="53" customFormat="false" ht="15" hidden="false" customHeight="false" outlineLevel="0" collapsed="false">
      <c r="A53" s="22" t="s">
        <v>312</v>
      </c>
      <c r="B53" s="22" t="s">
        <v>167</v>
      </c>
      <c r="C53" s="14" t="s">
        <v>319</v>
      </c>
      <c r="D53" s="22" t="s">
        <v>219</v>
      </c>
      <c r="E53" s="22" t="s">
        <v>320</v>
      </c>
      <c r="F53" s="45" t="n">
        <v>0.3</v>
      </c>
      <c r="G53" s="22" t="s">
        <v>199</v>
      </c>
      <c r="H53" s="46" t="n">
        <v>3.3</v>
      </c>
      <c r="I53" s="47" t="s">
        <v>221</v>
      </c>
      <c r="J53" s="24" t="n">
        <f aca="false">F53*H53</f>
        <v>0.99</v>
      </c>
    </row>
    <row r="54" customFormat="false" ht="15" hidden="false" customHeight="false" outlineLevel="0" collapsed="false">
      <c r="A54" s="22" t="s">
        <v>312</v>
      </c>
      <c r="B54" s="22" t="s">
        <v>56</v>
      </c>
      <c r="C54" s="14" t="s">
        <v>321</v>
      </c>
      <c r="D54" s="22" t="s">
        <v>322</v>
      </c>
      <c r="E54" s="22" t="s">
        <v>220</v>
      </c>
      <c r="F54" s="45" t="n">
        <v>0.25</v>
      </c>
      <c r="G54" s="22" t="s">
        <v>199</v>
      </c>
      <c r="H54" s="46" t="n">
        <v>6</v>
      </c>
      <c r="I54" s="47" t="s">
        <v>221</v>
      </c>
      <c r="J54" s="24" t="n">
        <f aca="false">F54*H54</f>
        <v>1.5</v>
      </c>
    </row>
    <row r="55" customFormat="false" ht="15" hidden="false" customHeight="false" outlineLevel="0" collapsed="false">
      <c r="A55" s="22" t="s">
        <v>312</v>
      </c>
      <c r="B55" s="22" t="s">
        <v>120</v>
      </c>
      <c r="C55" s="14" t="s">
        <v>323</v>
      </c>
      <c r="D55" s="22" t="s">
        <v>324</v>
      </c>
      <c r="E55" s="22" t="s">
        <v>217</v>
      </c>
      <c r="F55" s="45" t="n">
        <v>0.15</v>
      </c>
      <c r="G55" s="22" t="s">
        <v>199</v>
      </c>
      <c r="H55" s="46" t="n">
        <v>10</v>
      </c>
      <c r="I55" s="47" t="s">
        <v>221</v>
      </c>
      <c r="J55" s="24" t="n">
        <f aca="false">F55*H55</f>
        <v>1.5</v>
      </c>
    </row>
    <row r="56" customFormat="false" ht="15" hidden="false" customHeight="false" outlineLevel="0" collapsed="false">
      <c r="A56" s="22" t="s">
        <v>312</v>
      </c>
      <c r="B56" s="22" t="s">
        <v>145</v>
      </c>
      <c r="C56" s="14" t="s">
        <v>325</v>
      </c>
      <c r="D56" s="22" t="s">
        <v>326</v>
      </c>
      <c r="E56" s="22" t="s">
        <v>327</v>
      </c>
      <c r="F56" s="45" t="n">
        <v>0.12</v>
      </c>
      <c r="G56" s="22" t="s">
        <v>199</v>
      </c>
      <c r="H56" s="46" t="n">
        <v>4</v>
      </c>
      <c r="I56" s="47" t="s">
        <v>221</v>
      </c>
      <c r="J56" s="24" t="n">
        <f aca="false">F56*H56</f>
        <v>0.48</v>
      </c>
    </row>
    <row r="57" customFormat="false" ht="15" hidden="false" customHeight="false" outlineLevel="0" collapsed="false">
      <c r="A57" s="22" t="s">
        <v>312</v>
      </c>
      <c r="B57" s="22" t="s">
        <v>122</v>
      </c>
      <c r="C57" s="14" t="s">
        <v>328</v>
      </c>
      <c r="D57" s="22" t="s">
        <v>329</v>
      </c>
      <c r="E57" s="22" t="s">
        <v>330</v>
      </c>
      <c r="F57" s="45" t="n">
        <v>0.35</v>
      </c>
      <c r="G57" s="22" t="s">
        <v>199</v>
      </c>
      <c r="H57" s="46" t="n">
        <v>6</v>
      </c>
      <c r="I57" s="47" t="s">
        <v>221</v>
      </c>
      <c r="J57" s="24" t="n">
        <f aca="false">F57*H57</f>
        <v>2.1</v>
      </c>
    </row>
    <row r="58" customFormat="false" ht="15" hidden="false" customHeight="false" outlineLevel="0" collapsed="false">
      <c r="A58" s="22" t="s">
        <v>312</v>
      </c>
      <c r="B58" s="22" t="s">
        <v>148</v>
      </c>
      <c r="C58" s="14" t="s">
        <v>331</v>
      </c>
      <c r="D58" s="22" t="s">
        <v>219</v>
      </c>
      <c r="E58" s="22" t="s">
        <v>332</v>
      </c>
      <c r="F58" s="45" t="n">
        <v>0.3</v>
      </c>
      <c r="G58" s="22" t="s">
        <v>199</v>
      </c>
      <c r="H58" s="46" t="n">
        <v>6</v>
      </c>
      <c r="I58" s="47" t="s">
        <v>221</v>
      </c>
      <c r="J58" s="24" t="n">
        <f aca="false">F58*H58</f>
        <v>1.8</v>
      </c>
    </row>
    <row r="59" customFormat="false" ht="15" hidden="false" customHeight="false" outlineLevel="0" collapsed="false">
      <c r="A59" s="22" t="s">
        <v>312</v>
      </c>
      <c r="B59" s="22" t="s">
        <v>136</v>
      </c>
      <c r="C59" s="14" t="s">
        <v>333</v>
      </c>
      <c r="D59" s="22" t="s">
        <v>334</v>
      </c>
      <c r="E59" s="22" t="s">
        <v>335</v>
      </c>
      <c r="F59" s="45" t="n">
        <v>2</v>
      </c>
      <c r="G59" s="22" t="s">
        <v>336</v>
      </c>
      <c r="H59" s="46" t="n">
        <v>1.5</v>
      </c>
      <c r="I59" s="47" t="s">
        <v>221</v>
      </c>
      <c r="J59" s="24" t="n">
        <f aca="false">F59*H59</f>
        <v>3</v>
      </c>
    </row>
    <row r="60" customFormat="false" ht="15" hidden="false" customHeight="false" outlineLevel="0" collapsed="false">
      <c r="A60" s="22" t="s">
        <v>312</v>
      </c>
      <c r="B60" s="22" t="s">
        <v>111</v>
      </c>
      <c r="C60" s="14" t="s">
        <v>337</v>
      </c>
      <c r="D60" s="22" t="s">
        <v>226</v>
      </c>
      <c r="E60" s="22" t="s">
        <v>229</v>
      </c>
      <c r="F60" s="45" t="n">
        <v>0.5</v>
      </c>
      <c r="G60" s="22" t="s">
        <v>199</v>
      </c>
      <c r="H60" s="46" t="n">
        <v>1.2</v>
      </c>
      <c r="I60" s="47" t="s">
        <v>221</v>
      </c>
      <c r="J60" s="24" t="n">
        <f aca="false">F60*H60</f>
        <v>0.6</v>
      </c>
    </row>
    <row r="61" customFormat="false" ht="15" hidden="false" customHeight="false" outlineLevel="0" collapsed="false">
      <c r="A61" s="22" t="s">
        <v>312</v>
      </c>
      <c r="B61" s="22" t="s">
        <v>112</v>
      </c>
      <c r="C61" s="14" t="s">
        <v>338</v>
      </c>
      <c r="D61" s="22" t="s">
        <v>339</v>
      </c>
      <c r="E61" s="22" t="s">
        <v>229</v>
      </c>
      <c r="F61" s="45" t="n">
        <v>1</v>
      </c>
      <c r="G61" s="22" t="s">
        <v>340</v>
      </c>
      <c r="H61" s="46" t="n">
        <v>0.3</v>
      </c>
      <c r="I61" s="47" t="s">
        <v>221</v>
      </c>
      <c r="J61" s="24" t="n">
        <f aca="false">F61*H61</f>
        <v>0.3</v>
      </c>
    </row>
    <row r="62" customFormat="false" ht="15" hidden="false" customHeight="false" outlineLevel="0" collapsed="false">
      <c r="A62" s="22" t="s">
        <v>312</v>
      </c>
      <c r="B62" s="22" t="s">
        <v>160</v>
      </c>
      <c r="C62" s="14" t="s">
        <v>341</v>
      </c>
      <c r="D62" s="22" t="s">
        <v>342</v>
      </c>
      <c r="E62" s="22" t="s">
        <v>318</v>
      </c>
      <c r="F62" s="45" t="n">
        <v>0.06</v>
      </c>
      <c r="G62" s="22" t="s">
        <v>199</v>
      </c>
      <c r="H62" s="46" t="n">
        <v>8</v>
      </c>
      <c r="I62" s="47" t="s">
        <v>221</v>
      </c>
      <c r="J62" s="24" t="n">
        <f aca="false">F62*H62</f>
        <v>0.48</v>
      </c>
    </row>
    <row r="63" customFormat="false" ht="15" hidden="false" customHeight="false" outlineLevel="0" collapsed="false">
      <c r="A63" s="22" t="s">
        <v>312</v>
      </c>
      <c r="B63" s="22" t="s">
        <v>131</v>
      </c>
      <c r="C63" s="14" t="s">
        <v>343</v>
      </c>
      <c r="D63" s="22" t="s">
        <v>344</v>
      </c>
      <c r="E63" s="22" t="s">
        <v>345</v>
      </c>
      <c r="F63" s="45" t="n">
        <v>4</v>
      </c>
      <c r="G63" s="22" t="s">
        <v>346</v>
      </c>
      <c r="H63" s="46" t="n">
        <v>0.2</v>
      </c>
      <c r="I63" s="47" t="s">
        <v>221</v>
      </c>
      <c r="J63" s="24" t="n">
        <f aca="false">F63*H63</f>
        <v>0.8</v>
      </c>
    </row>
    <row r="64" customFormat="false" ht="15" hidden="false" customHeight="false" outlineLevel="0" collapsed="false">
      <c r="A64" s="22" t="s">
        <v>312</v>
      </c>
      <c r="B64" s="22" t="s">
        <v>141</v>
      </c>
      <c r="C64" s="14" t="s">
        <v>347</v>
      </c>
      <c r="D64" s="22" t="s">
        <v>348</v>
      </c>
      <c r="E64" s="22" t="s">
        <v>327</v>
      </c>
      <c r="F64" s="45" t="n">
        <v>0.1</v>
      </c>
      <c r="G64" s="22" t="s">
        <v>199</v>
      </c>
      <c r="H64" s="46" t="n">
        <v>40</v>
      </c>
      <c r="I64" s="47" t="s">
        <v>221</v>
      </c>
      <c r="J64" s="24" t="n">
        <f aca="false">F64*H64</f>
        <v>4</v>
      </c>
    </row>
    <row r="65" customFormat="false" ht="15" hidden="false" customHeight="false" outlineLevel="0" collapsed="false">
      <c r="A65" s="48"/>
      <c r="B65" s="49" t="s">
        <v>349</v>
      </c>
      <c r="C65" s="48"/>
      <c r="D65" s="48"/>
      <c r="E65" s="48"/>
      <c r="F65" s="48"/>
      <c r="G65" s="48"/>
      <c r="H65" s="48"/>
      <c r="I65" s="48"/>
      <c r="J65" s="50" t="n">
        <f aca="false">SUBTOTAL(9,J50:J64)</f>
        <v>26.28</v>
      </c>
    </row>
    <row r="66" customFormat="false" ht="15" hidden="false" customHeight="false" outlineLevel="0" collapsed="false">
      <c r="A66" s="43" t="s">
        <v>350</v>
      </c>
      <c r="B66" s="44"/>
      <c r="C66" s="44"/>
      <c r="D66" s="44"/>
      <c r="E66" s="44"/>
      <c r="F66" s="44"/>
      <c r="G66" s="44"/>
      <c r="H66" s="44"/>
      <c r="I66" s="44"/>
      <c r="J66" s="44"/>
    </row>
    <row r="67" customFormat="false" ht="15" hidden="false" customHeight="false" outlineLevel="0" collapsed="false">
      <c r="A67" s="22" t="s">
        <v>350</v>
      </c>
      <c r="B67" s="22" t="s">
        <v>101</v>
      </c>
      <c r="C67" s="14" t="s">
        <v>351</v>
      </c>
      <c r="D67" s="22" t="s">
        <v>352</v>
      </c>
      <c r="E67" s="22" t="s">
        <v>257</v>
      </c>
      <c r="F67" s="45" t="n">
        <v>2.3</v>
      </c>
      <c r="G67" s="22" t="s">
        <v>353</v>
      </c>
      <c r="H67" s="46" t="n">
        <v>12.5</v>
      </c>
      <c r="I67" s="47"/>
      <c r="J67" s="24" t="n">
        <f aca="false">F67*H67</f>
        <v>28.75</v>
      </c>
    </row>
    <row r="68" customFormat="false" ht="15" hidden="false" customHeight="false" outlineLevel="0" collapsed="false">
      <c r="A68" s="22" t="s">
        <v>350</v>
      </c>
      <c r="B68" s="22" t="s">
        <v>118</v>
      </c>
      <c r="C68" s="14" t="s">
        <v>354</v>
      </c>
      <c r="D68" s="22" t="s">
        <v>355</v>
      </c>
      <c r="E68" s="22" t="s">
        <v>356</v>
      </c>
      <c r="F68" s="45" t="n">
        <v>3.2</v>
      </c>
      <c r="G68" s="22" t="s">
        <v>353</v>
      </c>
      <c r="H68" s="46" t="n">
        <v>6</v>
      </c>
      <c r="I68" s="47" t="s">
        <v>221</v>
      </c>
      <c r="J68" s="24" t="n">
        <f aca="false">F68*H68</f>
        <v>19.2</v>
      </c>
    </row>
    <row r="69" customFormat="false" ht="15" hidden="false" customHeight="false" outlineLevel="0" collapsed="false">
      <c r="A69" s="22" t="s">
        <v>350</v>
      </c>
      <c r="B69" s="22" t="s">
        <v>95</v>
      </c>
      <c r="C69" s="14" t="s">
        <v>357</v>
      </c>
      <c r="D69" s="22" t="s">
        <v>231</v>
      </c>
      <c r="E69" s="22" t="s">
        <v>358</v>
      </c>
      <c r="F69" s="45" t="n">
        <v>0.6</v>
      </c>
      <c r="G69" s="22" t="s">
        <v>199</v>
      </c>
      <c r="H69" s="46" t="n">
        <v>9</v>
      </c>
      <c r="I69" s="47" t="s">
        <v>221</v>
      </c>
      <c r="J69" s="24" t="n">
        <f aca="false">F69*H69</f>
        <v>5.4</v>
      </c>
    </row>
    <row r="70" customFormat="false" ht="15" hidden="false" customHeight="false" outlineLevel="0" collapsed="false">
      <c r="A70" s="22" t="s">
        <v>350</v>
      </c>
      <c r="B70" s="22" t="s">
        <v>96</v>
      </c>
      <c r="C70" s="14" t="s">
        <v>359</v>
      </c>
      <c r="D70" s="22" t="s">
        <v>360</v>
      </c>
      <c r="E70" s="22" t="s">
        <v>361</v>
      </c>
      <c r="F70" s="45" t="n">
        <v>0.175</v>
      </c>
      <c r="G70" s="22" t="s">
        <v>199</v>
      </c>
      <c r="H70" s="46" t="n">
        <v>11</v>
      </c>
      <c r="I70" s="47" t="s">
        <v>221</v>
      </c>
      <c r="J70" s="24" t="n">
        <f aca="false">F70*H70</f>
        <v>1.925</v>
      </c>
    </row>
    <row r="71" customFormat="false" ht="15" hidden="false" customHeight="false" outlineLevel="0" collapsed="false">
      <c r="A71" s="22" t="s">
        <v>350</v>
      </c>
      <c r="B71" s="22" t="s">
        <v>117</v>
      </c>
      <c r="C71" s="14" t="s">
        <v>362</v>
      </c>
      <c r="D71" s="22" t="s">
        <v>363</v>
      </c>
      <c r="E71" s="22" t="s">
        <v>293</v>
      </c>
      <c r="F71" s="45" t="n">
        <v>0.045</v>
      </c>
      <c r="G71" s="22" t="s">
        <v>199</v>
      </c>
      <c r="H71" s="46" t="n">
        <v>33</v>
      </c>
      <c r="I71" s="47" t="s">
        <v>221</v>
      </c>
      <c r="J71" s="24" t="n">
        <f aca="false">F71*H71</f>
        <v>1.485</v>
      </c>
    </row>
    <row r="72" customFormat="false" ht="15" hidden="false" customHeight="false" outlineLevel="0" collapsed="false">
      <c r="A72" s="22" t="s">
        <v>350</v>
      </c>
      <c r="B72" s="22" t="s">
        <v>98</v>
      </c>
      <c r="C72" s="14" t="s">
        <v>364</v>
      </c>
      <c r="D72" s="22" t="s">
        <v>365</v>
      </c>
      <c r="E72" s="22" t="s">
        <v>366</v>
      </c>
      <c r="F72" s="45" t="n">
        <v>0.03</v>
      </c>
      <c r="G72" s="22" t="s">
        <v>199</v>
      </c>
      <c r="H72" s="46" t="n">
        <v>40</v>
      </c>
      <c r="I72" s="47" t="s">
        <v>221</v>
      </c>
      <c r="J72" s="24" t="n">
        <f aca="false">F72*H72</f>
        <v>1.2</v>
      </c>
    </row>
    <row r="73" customFormat="false" ht="15" hidden="false" customHeight="false" outlineLevel="0" collapsed="false">
      <c r="A73" s="22" t="s">
        <v>350</v>
      </c>
      <c r="B73" s="22" t="s">
        <v>124</v>
      </c>
      <c r="C73" s="14" t="s">
        <v>367</v>
      </c>
      <c r="D73" s="22" t="s">
        <v>368</v>
      </c>
      <c r="E73" s="22" t="s">
        <v>369</v>
      </c>
      <c r="F73" s="45" t="n">
        <v>0.025</v>
      </c>
      <c r="G73" s="22" t="s">
        <v>199</v>
      </c>
      <c r="H73" s="46" t="n">
        <v>40</v>
      </c>
      <c r="I73" s="47" t="s">
        <v>221</v>
      </c>
      <c r="J73" s="24" t="n">
        <f aca="false">F73*H73</f>
        <v>1</v>
      </c>
    </row>
    <row r="74" customFormat="false" ht="15" hidden="false" customHeight="false" outlineLevel="0" collapsed="false">
      <c r="A74" s="22" t="s">
        <v>350</v>
      </c>
      <c r="B74" s="22" t="s">
        <v>99</v>
      </c>
      <c r="C74" s="14" t="s">
        <v>370</v>
      </c>
      <c r="D74" s="22" t="s">
        <v>371</v>
      </c>
      <c r="E74" s="22" t="s">
        <v>372</v>
      </c>
      <c r="F74" s="45" t="n">
        <v>0.02</v>
      </c>
      <c r="G74" s="22" t="s">
        <v>199</v>
      </c>
      <c r="H74" s="46" t="n">
        <v>40</v>
      </c>
      <c r="I74" s="47" t="s">
        <v>221</v>
      </c>
      <c r="J74" s="24" t="n">
        <f aca="false">F74*H74</f>
        <v>0.8</v>
      </c>
    </row>
    <row r="75" customFormat="false" ht="15" hidden="false" customHeight="false" outlineLevel="0" collapsed="false">
      <c r="A75" s="22" t="s">
        <v>350</v>
      </c>
      <c r="B75" s="22" t="s">
        <v>125</v>
      </c>
      <c r="C75" s="14" t="s">
        <v>373</v>
      </c>
      <c r="D75" s="22" t="s">
        <v>374</v>
      </c>
      <c r="E75" s="22" t="s">
        <v>375</v>
      </c>
      <c r="F75" s="45" t="n">
        <v>0.01</v>
      </c>
      <c r="G75" s="22" t="s">
        <v>199</v>
      </c>
      <c r="H75" s="46" t="n">
        <v>50</v>
      </c>
      <c r="I75" s="47" t="s">
        <v>221</v>
      </c>
      <c r="J75" s="24" t="n">
        <f aca="false">F75*H75</f>
        <v>0.5</v>
      </c>
    </row>
    <row r="76" customFormat="false" ht="15" hidden="false" customHeight="false" outlineLevel="0" collapsed="false">
      <c r="A76" s="22" t="s">
        <v>350</v>
      </c>
      <c r="B76" s="22" t="s">
        <v>100</v>
      </c>
      <c r="C76" s="14" t="s">
        <v>376</v>
      </c>
      <c r="D76" s="22" t="s">
        <v>377</v>
      </c>
      <c r="E76" s="22" t="s">
        <v>378</v>
      </c>
      <c r="F76" s="45" t="n">
        <v>0.006</v>
      </c>
      <c r="G76" s="22" t="s">
        <v>199</v>
      </c>
      <c r="H76" s="46" t="n">
        <v>50</v>
      </c>
      <c r="I76" s="47" t="s">
        <v>221</v>
      </c>
      <c r="J76" s="24" t="n">
        <f aca="false">F76*H76</f>
        <v>0.3</v>
      </c>
    </row>
    <row r="77" customFormat="false" ht="15" hidden="false" customHeight="false" outlineLevel="0" collapsed="false">
      <c r="A77" s="22" t="s">
        <v>350</v>
      </c>
      <c r="B77" s="22" t="s">
        <v>143</v>
      </c>
      <c r="C77" s="14" t="s">
        <v>379</v>
      </c>
      <c r="D77" s="22" t="s">
        <v>380</v>
      </c>
      <c r="E77" s="22" t="s">
        <v>381</v>
      </c>
      <c r="F77" s="45" t="n">
        <v>1</v>
      </c>
      <c r="G77" s="22" t="s">
        <v>382</v>
      </c>
      <c r="H77" s="46" t="n">
        <v>0.2</v>
      </c>
      <c r="I77" s="47" t="s">
        <v>221</v>
      </c>
      <c r="J77" s="24" t="n">
        <f aca="false">F77*H77</f>
        <v>0.2</v>
      </c>
    </row>
    <row r="78" customFormat="false" ht="15" hidden="false" customHeight="false" outlineLevel="0" collapsed="false">
      <c r="A78" s="22" t="s">
        <v>350</v>
      </c>
      <c r="B78" s="22" t="s">
        <v>137</v>
      </c>
      <c r="C78" s="14" t="s">
        <v>383</v>
      </c>
      <c r="D78" s="22" t="s">
        <v>374</v>
      </c>
      <c r="E78" s="22" t="s">
        <v>384</v>
      </c>
      <c r="F78" s="45" t="n">
        <v>0.01</v>
      </c>
      <c r="G78" s="22" t="s">
        <v>199</v>
      </c>
      <c r="H78" s="46" t="n">
        <v>30</v>
      </c>
      <c r="I78" s="47" t="s">
        <v>221</v>
      </c>
      <c r="J78" s="24" t="n">
        <f aca="false">F78*H78</f>
        <v>0.3</v>
      </c>
    </row>
    <row r="79" customFormat="false" ht="15" hidden="false" customHeight="false" outlineLevel="0" collapsed="false">
      <c r="A79" s="22" t="s">
        <v>350</v>
      </c>
      <c r="B79" s="22" t="s">
        <v>102</v>
      </c>
      <c r="C79" s="14" t="s">
        <v>385</v>
      </c>
      <c r="D79" s="22" t="s">
        <v>322</v>
      </c>
      <c r="E79" s="22" t="s">
        <v>257</v>
      </c>
      <c r="F79" s="45" t="n">
        <v>0.25</v>
      </c>
      <c r="G79" s="22" t="s">
        <v>199</v>
      </c>
      <c r="H79" s="46" t="n">
        <v>0.8</v>
      </c>
      <c r="I79" s="47" t="s">
        <v>221</v>
      </c>
      <c r="J79" s="24" t="n">
        <f aca="false">F79*H79</f>
        <v>0.2</v>
      </c>
    </row>
    <row r="80" customFormat="false" ht="15" hidden="false" customHeight="false" outlineLevel="0" collapsed="false">
      <c r="A80" s="22" t="s">
        <v>350</v>
      </c>
      <c r="B80" s="22" t="s">
        <v>103</v>
      </c>
      <c r="C80" s="14" t="s">
        <v>386</v>
      </c>
      <c r="D80" s="22" t="s">
        <v>365</v>
      </c>
      <c r="E80" s="22" t="s">
        <v>257</v>
      </c>
      <c r="F80" s="45" t="n">
        <v>0.03</v>
      </c>
      <c r="G80" s="22" t="s">
        <v>199</v>
      </c>
      <c r="H80" s="46" t="n">
        <v>50</v>
      </c>
      <c r="I80" s="47" t="s">
        <v>221</v>
      </c>
      <c r="J80" s="24" t="n">
        <f aca="false">F80*H80</f>
        <v>1.5</v>
      </c>
    </row>
    <row r="81" customFormat="false" ht="15" hidden="false" customHeight="false" outlineLevel="0" collapsed="false">
      <c r="A81" s="48"/>
      <c r="B81" s="49" t="s">
        <v>387</v>
      </c>
      <c r="C81" s="48"/>
      <c r="D81" s="48"/>
      <c r="E81" s="48"/>
      <c r="F81" s="48"/>
      <c r="G81" s="48"/>
      <c r="H81" s="48"/>
      <c r="I81" s="48"/>
      <c r="J81" s="50" t="n">
        <f aca="false">SUBTOTAL(9,J67:J80)</f>
        <v>62.76</v>
      </c>
    </row>
    <row r="82" customFormat="false" ht="15" hidden="false" customHeight="false" outlineLevel="0" collapsed="false">
      <c r="A82" s="43" t="s">
        <v>388</v>
      </c>
      <c r="B82" s="44"/>
      <c r="C82" s="44"/>
      <c r="D82" s="44"/>
      <c r="E82" s="44"/>
      <c r="F82" s="44"/>
      <c r="G82" s="44"/>
      <c r="H82" s="44"/>
      <c r="I82" s="44"/>
      <c r="J82" s="44"/>
    </row>
    <row r="83" customFormat="false" ht="15" hidden="false" customHeight="false" outlineLevel="0" collapsed="false">
      <c r="A83" s="22" t="s">
        <v>388</v>
      </c>
      <c r="B83" s="36"/>
      <c r="C83" s="51"/>
      <c r="D83" s="36"/>
      <c r="E83" s="36"/>
      <c r="F83" s="45"/>
      <c r="G83" s="36"/>
      <c r="H83" s="46"/>
      <c r="I83" s="23"/>
      <c r="J83" s="24" t="n">
        <f aca="false">F83*H83</f>
        <v>0</v>
      </c>
    </row>
    <row r="84" customFormat="false" ht="15" hidden="false" customHeight="false" outlineLevel="0" collapsed="false">
      <c r="A84" s="22" t="s">
        <v>388</v>
      </c>
      <c r="B84" s="36"/>
      <c r="C84" s="51"/>
      <c r="D84" s="36"/>
      <c r="E84" s="36"/>
      <c r="F84" s="45"/>
      <c r="G84" s="36"/>
      <c r="H84" s="46"/>
      <c r="I84" s="23"/>
      <c r="J84" s="24" t="n">
        <f aca="false">F84*H84</f>
        <v>0</v>
      </c>
    </row>
    <row r="85" customFormat="false" ht="15" hidden="false" customHeight="false" outlineLevel="0" collapsed="false">
      <c r="A85" s="22" t="s">
        <v>388</v>
      </c>
      <c r="B85" s="36"/>
      <c r="C85" s="51"/>
      <c r="D85" s="36"/>
      <c r="E85" s="36"/>
      <c r="F85" s="45"/>
      <c r="G85" s="36"/>
      <c r="H85" s="46"/>
      <c r="I85" s="23"/>
      <c r="J85" s="24" t="n">
        <f aca="false">F85*H85</f>
        <v>0</v>
      </c>
    </row>
    <row r="86" customFormat="false" ht="15" hidden="false" customHeight="false" outlineLevel="0" collapsed="false">
      <c r="A86" s="22" t="s">
        <v>388</v>
      </c>
      <c r="B86" s="36"/>
      <c r="C86" s="51"/>
      <c r="D86" s="36"/>
      <c r="E86" s="36"/>
      <c r="F86" s="45"/>
      <c r="G86" s="36"/>
      <c r="H86" s="46"/>
      <c r="I86" s="23"/>
      <c r="J86" s="24" t="n">
        <f aca="false">F86*H86</f>
        <v>0</v>
      </c>
    </row>
    <row r="87" customFormat="false" ht="15" hidden="false" customHeight="false" outlineLevel="0" collapsed="false">
      <c r="A87" s="22" t="s">
        <v>388</v>
      </c>
      <c r="B87" s="36"/>
      <c r="C87" s="51"/>
      <c r="D87" s="36"/>
      <c r="E87" s="36"/>
      <c r="F87" s="45"/>
      <c r="G87" s="36"/>
      <c r="H87" s="46"/>
      <c r="I87" s="23"/>
      <c r="J87" s="24" t="n">
        <f aca="false">F87*H87</f>
        <v>0</v>
      </c>
    </row>
    <row r="88" customFormat="false" ht="15" hidden="false" customHeight="false" outlineLevel="0" collapsed="false">
      <c r="A88" s="22" t="s">
        <v>388</v>
      </c>
      <c r="B88" s="36"/>
      <c r="C88" s="51"/>
      <c r="D88" s="36"/>
      <c r="E88" s="36"/>
      <c r="F88" s="45"/>
      <c r="G88" s="36"/>
      <c r="H88" s="46"/>
      <c r="I88" s="23"/>
      <c r="J88" s="24" t="n">
        <f aca="false">F88*H88</f>
        <v>0</v>
      </c>
    </row>
    <row r="89" customFormat="false" ht="15" hidden="false" customHeight="false" outlineLevel="0" collapsed="false">
      <c r="A89" s="22" t="s">
        <v>388</v>
      </c>
      <c r="B89" s="36"/>
      <c r="C89" s="51"/>
      <c r="D89" s="36"/>
      <c r="E89" s="36"/>
      <c r="F89" s="45"/>
      <c r="G89" s="36"/>
      <c r="H89" s="46"/>
      <c r="I89" s="23"/>
      <c r="J89" s="24" t="n">
        <f aca="false">F89*H89</f>
        <v>0</v>
      </c>
    </row>
    <row r="90" customFormat="false" ht="15" hidden="false" customHeight="false" outlineLevel="0" collapsed="false">
      <c r="A90" s="22" t="s">
        <v>388</v>
      </c>
      <c r="B90" s="36"/>
      <c r="C90" s="51"/>
      <c r="D90" s="36"/>
      <c r="E90" s="36"/>
      <c r="F90" s="45"/>
      <c r="G90" s="36"/>
      <c r="H90" s="46"/>
      <c r="I90" s="23"/>
      <c r="J90" s="24" t="n">
        <f aca="false">F90*H90</f>
        <v>0</v>
      </c>
    </row>
    <row r="91" customFormat="false" ht="15" hidden="false" customHeight="false" outlineLevel="0" collapsed="false">
      <c r="A91" s="22" t="s">
        <v>388</v>
      </c>
      <c r="B91" s="36"/>
      <c r="C91" s="51"/>
      <c r="D91" s="36"/>
      <c r="E91" s="36"/>
      <c r="F91" s="45"/>
      <c r="G91" s="36"/>
      <c r="H91" s="46"/>
      <c r="I91" s="23"/>
      <c r="J91" s="24" t="n">
        <f aca="false">F91*H91</f>
        <v>0</v>
      </c>
    </row>
    <row r="92" customFormat="false" ht="15" hidden="false" customHeight="false" outlineLevel="0" collapsed="false">
      <c r="A92" s="22" t="s">
        <v>388</v>
      </c>
      <c r="B92" s="36"/>
      <c r="C92" s="51"/>
      <c r="D92" s="36"/>
      <c r="E92" s="36"/>
      <c r="F92" s="45"/>
      <c r="G92" s="36"/>
      <c r="H92" s="46"/>
      <c r="I92" s="23"/>
      <c r="J92" s="24" t="n">
        <f aca="false">F92*H92</f>
        <v>0</v>
      </c>
    </row>
    <row r="93" customFormat="false" ht="15" hidden="false" customHeight="false" outlineLevel="0" collapsed="false">
      <c r="A93" s="22" t="s">
        <v>388</v>
      </c>
      <c r="B93" s="36"/>
      <c r="C93" s="51"/>
      <c r="D93" s="36"/>
      <c r="E93" s="36"/>
      <c r="F93" s="45"/>
      <c r="G93" s="36"/>
      <c r="H93" s="46"/>
      <c r="I93" s="23"/>
      <c r="J93" s="24" t="n">
        <f aca="false">F93*H93</f>
        <v>0</v>
      </c>
    </row>
    <row r="94" customFormat="false" ht="15" hidden="false" customHeight="false" outlineLevel="0" collapsed="false">
      <c r="A94" s="22" t="s">
        <v>388</v>
      </c>
      <c r="B94" s="36"/>
      <c r="C94" s="51"/>
      <c r="D94" s="36"/>
      <c r="E94" s="36"/>
      <c r="F94" s="45"/>
      <c r="G94" s="36"/>
      <c r="H94" s="46"/>
      <c r="I94" s="23"/>
      <c r="J94" s="24" t="n">
        <f aca="false">F94*H94</f>
        <v>0</v>
      </c>
    </row>
    <row r="95" customFormat="false" ht="15" hidden="false" customHeight="false" outlineLevel="0" collapsed="false">
      <c r="A95" s="22" t="s">
        <v>388</v>
      </c>
      <c r="B95" s="36"/>
      <c r="C95" s="51"/>
      <c r="D95" s="36"/>
      <c r="E95" s="36"/>
      <c r="F95" s="45"/>
      <c r="G95" s="36"/>
      <c r="H95" s="46"/>
      <c r="I95" s="23"/>
      <c r="J95" s="24" t="n">
        <f aca="false">F95*H95</f>
        <v>0</v>
      </c>
    </row>
    <row r="96" customFormat="false" ht="15" hidden="false" customHeight="false" outlineLevel="0" collapsed="false">
      <c r="A96" s="22" t="s">
        <v>388</v>
      </c>
      <c r="B96" s="36"/>
      <c r="C96" s="51"/>
      <c r="D96" s="36"/>
      <c r="E96" s="36"/>
      <c r="F96" s="45"/>
      <c r="G96" s="36"/>
      <c r="H96" s="46"/>
      <c r="I96" s="23"/>
      <c r="J96" s="24" t="n">
        <f aca="false">F96*H96</f>
        <v>0</v>
      </c>
    </row>
    <row r="97" customFormat="false" ht="15" hidden="false" customHeight="false" outlineLevel="0" collapsed="false">
      <c r="A97" s="22" t="s">
        <v>388</v>
      </c>
      <c r="B97" s="36"/>
      <c r="C97" s="51"/>
      <c r="D97" s="36"/>
      <c r="E97" s="36"/>
      <c r="F97" s="45"/>
      <c r="G97" s="36"/>
      <c r="H97" s="46"/>
      <c r="I97" s="23"/>
      <c r="J97" s="24" t="n">
        <f aca="false">F97*H97</f>
        <v>0</v>
      </c>
    </row>
    <row r="98" customFormat="false" ht="15" hidden="false" customHeight="false" outlineLevel="0" collapsed="false">
      <c r="A98" s="48"/>
      <c r="B98" s="49" t="s">
        <v>389</v>
      </c>
      <c r="C98" s="48"/>
      <c r="D98" s="48"/>
      <c r="E98" s="48"/>
      <c r="F98" s="48"/>
      <c r="G98" s="48"/>
      <c r="H98" s="48"/>
      <c r="I98" s="48"/>
      <c r="J98" s="50" t="n">
        <f aca="false">SUBTOTAL(9,J83:J97)</f>
        <v>0</v>
      </c>
    </row>
    <row r="99" customFormat="false" ht="15" hidden="false" customHeight="false" outlineLevel="0" collapsed="false">
      <c r="A99" s="29"/>
      <c r="B99" s="7" t="s">
        <v>390</v>
      </c>
      <c r="C99" s="29"/>
      <c r="D99" s="29"/>
      <c r="E99" s="29"/>
      <c r="F99" s="29"/>
      <c r="G99" s="29"/>
      <c r="H99" s="29"/>
      <c r="I99" s="29"/>
      <c r="J99" s="31" t="n">
        <f aca="false">SUBTOTAL(9,J5:J98)</f>
        <v>576.594</v>
      </c>
    </row>
    <row r="100" customFormat="false" ht="15" hidden="false" customHeight="false" outlineLevel="0" collapsed="false">
      <c r="B100" s="32" t="s">
        <v>391</v>
      </c>
      <c r="J100" s="33" t="n">
        <f aca="false">J99/(4*14)</f>
        <v>10.2963214285714</v>
      </c>
    </row>
    <row r="102" customFormat="false" ht="15" hidden="false" customHeight="false" outlineLevel="0" collapsed="false">
      <c r="A102" s="5" t="s">
        <v>392</v>
      </c>
    </row>
  </sheetData>
  <autoFilter ref="A4:J9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6"/>
    <col collapsed="false" customWidth="true" hidden="false" outlineLevel="0" max="3" min="3" style="0" width="32"/>
    <col collapsed="false" customWidth="true" hidden="false" outlineLevel="0" max="4" min="4" style="0" width="22"/>
    <col collapsed="false" customWidth="true" hidden="false" outlineLevel="0" max="5" min="5" style="0" width="10"/>
    <col collapsed="false" customWidth="true" hidden="false" outlineLevel="0" max="6" min="6" style="0" width="7"/>
    <col collapsed="false" customWidth="true" hidden="false" outlineLevel="0" max="7" min="7" style="0" width="16"/>
    <col collapsed="false" customWidth="true" hidden="false" outlineLevel="0" max="8" min="8" style="0" width="11"/>
    <col collapsed="false" customWidth="true" hidden="false" outlineLevel="0" max="9" min="9" style="0" width="13"/>
    <col collapsed="false" customWidth="true" hidden="true" outlineLevel="0" max="10" min="10" style="0" width="13"/>
  </cols>
  <sheetData>
    <row r="1" customFormat="false" ht="17.35" hidden="false" customHeight="false" outlineLevel="0" collapsed="false">
      <c r="A1" s="1" t="s">
        <v>393</v>
      </c>
    </row>
    <row r="2" customFormat="false" ht="15" hidden="false" customHeight="false" outlineLevel="0" collapsed="false">
      <c r="A2" s="5" t="s">
        <v>394</v>
      </c>
    </row>
    <row r="4" customFormat="false" ht="26.85" hidden="false" customHeight="false" outlineLevel="0" collapsed="false">
      <c r="A4" s="21" t="s">
        <v>190</v>
      </c>
      <c r="B4" s="21" t="s">
        <v>21</v>
      </c>
      <c r="C4" s="21" t="s">
        <v>11</v>
      </c>
      <c r="D4" s="21" t="s">
        <v>22</v>
      </c>
      <c r="E4" s="21" t="s">
        <v>395</v>
      </c>
      <c r="F4" s="21" t="s">
        <v>396</v>
      </c>
      <c r="G4" s="21" t="s">
        <v>18</v>
      </c>
      <c r="H4" s="21" t="s">
        <v>194</v>
      </c>
      <c r="I4" s="21" t="s">
        <v>19</v>
      </c>
      <c r="J4" s="21" t="s">
        <v>9</v>
      </c>
    </row>
    <row r="5" customFormat="false" ht="15" hidden="false" customHeight="false" outlineLevel="0" collapsed="false">
      <c r="A5" s="43" t="s">
        <v>397</v>
      </c>
      <c r="B5" s="44"/>
      <c r="C5" s="44"/>
      <c r="D5" s="44"/>
      <c r="E5" s="44"/>
      <c r="F5" s="44"/>
      <c r="G5" s="44"/>
      <c r="H5" s="44"/>
      <c r="I5" s="44"/>
    </row>
    <row r="6" customFormat="false" ht="15" hidden="false" customHeight="false" outlineLevel="0" collapsed="false">
      <c r="A6" s="22" t="s">
        <v>397</v>
      </c>
      <c r="B6" s="22" t="s">
        <v>398</v>
      </c>
      <c r="C6" s="14" t="s">
        <v>399</v>
      </c>
      <c r="D6" s="22" t="s">
        <v>400</v>
      </c>
      <c r="E6" s="23" t="s">
        <v>37</v>
      </c>
      <c r="F6" s="36" t="n">
        <v>4</v>
      </c>
      <c r="G6" s="46" t="n">
        <v>1.8</v>
      </c>
      <c r="H6" s="47"/>
      <c r="I6" s="24" t="n">
        <f aca="false">IF(E6="Oui",N(F6)*N(G6),0)</f>
        <v>7.2</v>
      </c>
      <c r="J6" s="52" t="n">
        <f aca="false">IF(AND(B6&lt;&gt;"",E6="Oui",N(F6)&gt;0),MAX(J$4:J5)+1,"")</f>
        <v>1</v>
      </c>
    </row>
    <row r="7" customFormat="false" ht="15" hidden="false" customHeight="false" outlineLevel="0" collapsed="false">
      <c r="A7" s="22" t="s">
        <v>397</v>
      </c>
      <c r="B7" s="22" t="s">
        <v>401</v>
      </c>
      <c r="C7" s="14" t="s">
        <v>402</v>
      </c>
      <c r="D7" s="22" t="s">
        <v>403</v>
      </c>
      <c r="E7" s="23" t="s">
        <v>37</v>
      </c>
      <c r="F7" s="36" t="n">
        <v>1</v>
      </c>
      <c r="G7" s="46" t="n">
        <v>8.99</v>
      </c>
      <c r="H7" s="47"/>
      <c r="I7" s="24" t="n">
        <f aca="false">IF(E7="Oui",N(F7)*N(G7),0)</f>
        <v>8.99</v>
      </c>
      <c r="J7" s="52" t="n">
        <f aca="false">IF(AND(B7&lt;&gt;"",E7="Oui",N(F7)&gt;0),MAX(J$4:J6)+1,"")</f>
        <v>2</v>
      </c>
    </row>
    <row r="8" customFormat="false" ht="15" hidden="false" customHeight="false" outlineLevel="0" collapsed="false">
      <c r="A8" s="22" t="s">
        <v>397</v>
      </c>
      <c r="B8" s="22" t="s">
        <v>404</v>
      </c>
      <c r="C8" s="14" t="s">
        <v>405</v>
      </c>
      <c r="D8" s="22" t="s">
        <v>406</v>
      </c>
      <c r="E8" s="23" t="s">
        <v>37</v>
      </c>
      <c r="F8" s="36" t="n">
        <v>2</v>
      </c>
      <c r="G8" s="46" t="n">
        <v>5.65</v>
      </c>
      <c r="H8" s="47"/>
      <c r="I8" s="24" t="n">
        <f aca="false">IF(E8="Oui",N(F8)*N(G8),0)</f>
        <v>11.3</v>
      </c>
      <c r="J8" s="52" t="n">
        <f aca="false">IF(AND(B8&lt;&gt;"",E8="Oui",N(F8)&gt;0),MAX(J$4:J7)+1,"")</f>
        <v>3</v>
      </c>
    </row>
    <row r="9" customFormat="false" ht="15" hidden="false" customHeight="false" outlineLevel="0" collapsed="false">
      <c r="A9" s="22" t="s">
        <v>397</v>
      </c>
      <c r="B9" s="22" t="s">
        <v>407</v>
      </c>
      <c r="C9" s="14" t="s">
        <v>408</v>
      </c>
      <c r="D9" s="22" t="s">
        <v>409</v>
      </c>
      <c r="E9" s="23" t="s">
        <v>37</v>
      </c>
      <c r="F9" s="36" t="n">
        <v>2</v>
      </c>
      <c r="G9" s="46" t="n">
        <v>2.99</v>
      </c>
      <c r="H9" s="47"/>
      <c r="I9" s="24" t="n">
        <f aca="false">IF(E9="Oui",N(F9)*N(G9),0)</f>
        <v>5.98</v>
      </c>
      <c r="J9" s="52" t="n">
        <f aca="false">IF(AND(B9&lt;&gt;"",E9="Oui",N(F9)&gt;0),MAX(J$4:J8)+1,"")</f>
        <v>4</v>
      </c>
    </row>
    <row r="10" customFormat="false" ht="15" hidden="false" customHeight="false" outlineLevel="0" collapsed="false">
      <c r="A10" s="22" t="s">
        <v>397</v>
      </c>
      <c r="B10" s="22" t="s">
        <v>410</v>
      </c>
      <c r="C10" s="14" t="s">
        <v>411</v>
      </c>
      <c r="D10" s="22" t="s">
        <v>282</v>
      </c>
      <c r="E10" s="23" t="s">
        <v>37</v>
      </c>
      <c r="F10" s="36" t="n">
        <v>4</v>
      </c>
      <c r="G10" s="46" t="n">
        <v>1.59</v>
      </c>
      <c r="H10" s="47"/>
      <c r="I10" s="24" t="n">
        <f aca="false">IF(E10="Oui",N(F10)*N(G10),0)</f>
        <v>6.36</v>
      </c>
      <c r="J10" s="52" t="n">
        <f aca="false">IF(AND(B10&lt;&gt;"",E10="Oui",N(F10)&gt;0),MAX(J$4:J9)+1,"")</f>
        <v>5</v>
      </c>
    </row>
    <row r="11" customFormat="false" ht="15" hidden="false" customHeight="false" outlineLevel="0" collapsed="false">
      <c r="A11" s="22" t="s">
        <v>397</v>
      </c>
      <c r="B11" s="22" t="s">
        <v>412</v>
      </c>
      <c r="C11" s="14" t="s">
        <v>413</v>
      </c>
      <c r="D11" s="22" t="s">
        <v>414</v>
      </c>
      <c r="E11" s="23" t="s">
        <v>37</v>
      </c>
      <c r="F11" s="36" t="n">
        <v>2</v>
      </c>
      <c r="G11" s="46" t="n">
        <v>8.99</v>
      </c>
      <c r="H11" s="47"/>
      <c r="I11" s="24" t="n">
        <f aca="false">IF(E11="Oui",N(F11)*N(G11),0)</f>
        <v>17.98</v>
      </c>
      <c r="J11" s="52" t="n">
        <f aca="false">IF(AND(B11&lt;&gt;"",E11="Oui",N(F11)&gt;0),MAX(J$4:J10)+1,"")</f>
        <v>6</v>
      </c>
    </row>
    <row r="12" customFormat="false" ht="15" hidden="false" customHeight="false" outlineLevel="0" collapsed="false">
      <c r="A12" s="22" t="s">
        <v>397</v>
      </c>
      <c r="B12" s="22" t="s">
        <v>415</v>
      </c>
      <c r="C12" s="14" t="s">
        <v>416</v>
      </c>
      <c r="D12" s="22" t="s">
        <v>417</v>
      </c>
      <c r="E12" s="23" t="s">
        <v>37</v>
      </c>
      <c r="F12" s="36" t="n">
        <v>2</v>
      </c>
      <c r="G12" s="46" t="n">
        <v>7</v>
      </c>
      <c r="H12" s="47" t="s">
        <v>221</v>
      </c>
      <c r="I12" s="24" t="n">
        <f aca="false">IF(E12="Oui",N(F12)*N(G12),0)</f>
        <v>14</v>
      </c>
      <c r="J12" s="52" t="n">
        <f aca="false">IF(AND(B12&lt;&gt;"",E12="Oui",N(F12)&gt;0),MAX(J$4:J11)+1,"")</f>
        <v>7</v>
      </c>
    </row>
    <row r="13" customFormat="false" ht="15" hidden="false" customHeight="false" outlineLevel="0" collapsed="false">
      <c r="A13" s="22" t="s">
        <v>397</v>
      </c>
      <c r="B13" s="22" t="s">
        <v>418</v>
      </c>
      <c r="C13" s="14" t="s">
        <v>419</v>
      </c>
      <c r="D13" s="22" t="s">
        <v>336</v>
      </c>
      <c r="E13" s="23" t="s">
        <v>37</v>
      </c>
      <c r="F13" s="36" t="n">
        <v>2</v>
      </c>
      <c r="G13" s="46" t="n">
        <v>4.5</v>
      </c>
      <c r="H13" s="47" t="s">
        <v>221</v>
      </c>
      <c r="I13" s="24" t="n">
        <f aca="false">IF(E13="Oui",N(F13)*N(G13),0)</f>
        <v>9</v>
      </c>
      <c r="J13" s="52" t="n">
        <f aca="false">IF(AND(B13&lt;&gt;"",E13="Oui",N(F13)&gt;0),MAX(J$4:J12)+1,"")</f>
        <v>8</v>
      </c>
    </row>
    <row r="14" customFormat="false" ht="15" hidden="false" customHeight="false" outlineLevel="0" collapsed="false">
      <c r="A14" s="22" t="s">
        <v>397</v>
      </c>
      <c r="B14" s="22" t="s">
        <v>420</v>
      </c>
      <c r="C14" s="14" t="s">
        <v>421</v>
      </c>
      <c r="D14" s="22" t="s">
        <v>422</v>
      </c>
      <c r="E14" s="23" t="s">
        <v>37</v>
      </c>
      <c r="F14" s="36" t="n">
        <v>1</v>
      </c>
      <c r="G14" s="46" t="n">
        <v>3.69</v>
      </c>
      <c r="H14" s="47"/>
      <c r="I14" s="24" t="n">
        <f aca="false">IF(E14="Oui",N(F14)*N(G14),0)</f>
        <v>3.69</v>
      </c>
      <c r="J14" s="52" t="n">
        <f aca="false">IF(AND(B14&lt;&gt;"",E14="Oui",N(F14)&gt;0),MAX(J$4:J13)+1,"")</f>
        <v>9</v>
      </c>
    </row>
    <row r="15" customFormat="false" ht="15" hidden="false" customHeight="false" outlineLevel="0" collapsed="false">
      <c r="A15" s="48"/>
      <c r="B15" s="49" t="s">
        <v>423</v>
      </c>
      <c r="C15" s="48"/>
      <c r="D15" s="48"/>
      <c r="E15" s="48"/>
      <c r="F15" s="48"/>
      <c r="G15" s="48"/>
      <c r="H15" s="48"/>
      <c r="I15" s="50" t="n">
        <f aca="false">SUBTOTAL(9,I6:I14)</f>
        <v>84.5</v>
      </c>
    </row>
    <row r="16" customFormat="false" ht="15" hidden="false" customHeight="false" outlineLevel="0" collapsed="false">
      <c r="A16" s="43" t="s">
        <v>424</v>
      </c>
      <c r="B16" s="44"/>
      <c r="C16" s="44"/>
      <c r="D16" s="44"/>
      <c r="E16" s="44"/>
      <c r="F16" s="44"/>
      <c r="G16" s="44"/>
      <c r="H16" s="44"/>
      <c r="I16" s="44"/>
    </row>
    <row r="17" customFormat="false" ht="15" hidden="false" customHeight="false" outlineLevel="0" collapsed="false">
      <c r="A17" s="22" t="s">
        <v>424</v>
      </c>
      <c r="B17" s="22" t="s">
        <v>425</v>
      </c>
      <c r="C17" s="14" t="s">
        <v>426</v>
      </c>
      <c r="D17" s="22" t="s">
        <v>427</v>
      </c>
      <c r="E17" s="23" t="s">
        <v>37</v>
      </c>
      <c r="F17" s="36" t="n">
        <v>2</v>
      </c>
      <c r="G17" s="46" t="n">
        <v>6.69</v>
      </c>
      <c r="H17" s="47"/>
      <c r="I17" s="24" t="n">
        <f aca="false">IF(E17="Oui",N(F17)*N(G17),0)</f>
        <v>13.38</v>
      </c>
      <c r="J17" s="52" t="n">
        <f aca="false">IF(AND(B17&lt;&gt;"",E17="Oui",N(F17)&gt;0),MAX(J$4:J16)+1,"")</f>
        <v>10</v>
      </c>
    </row>
    <row r="18" customFormat="false" ht="15" hidden="false" customHeight="false" outlineLevel="0" collapsed="false">
      <c r="A18" s="22" t="s">
        <v>424</v>
      </c>
      <c r="B18" s="22" t="s">
        <v>428</v>
      </c>
      <c r="C18" s="14" t="s">
        <v>429</v>
      </c>
      <c r="D18" s="22" t="s">
        <v>430</v>
      </c>
      <c r="E18" s="23" t="s">
        <v>37</v>
      </c>
      <c r="F18" s="36" t="n">
        <v>1</v>
      </c>
      <c r="G18" s="46" t="n">
        <v>5.35</v>
      </c>
      <c r="H18" s="47"/>
      <c r="I18" s="24" t="n">
        <f aca="false">IF(E18="Oui",N(F18)*N(G18),0)</f>
        <v>5.35</v>
      </c>
      <c r="J18" s="52" t="n">
        <f aca="false">IF(AND(B18&lt;&gt;"",E18="Oui",N(F18)&gt;0),MAX(J$4:J17)+1,"")</f>
        <v>11</v>
      </c>
    </row>
    <row r="19" customFormat="false" ht="15" hidden="false" customHeight="false" outlineLevel="0" collapsed="false">
      <c r="A19" s="22" t="s">
        <v>424</v>
      </c>
      <c r="B19" s="22" t="s">
        <v>431</v>
      </c>
      <c r="C19" s="14" t="s">
        <v>432</v>
      </c>
      <c r="D19" s="22" t="s">
        <v>430</v>
      </c>
      <c r="E19" s="23" t="s">
        <v>37</v>
      </c>
      <c r="F19" s="36" t="n">
        <v>1</v>
      </c>
      <c r="G19" s="46" t="n">
        <v>6.62</v>
      </c>
      <c r="H19" s="47"/>
      <c r="I19" s="24" t="n">
        <f aca="false">IF(E19="Oui",N(F19)*N(G19),0)</f>
        <v>6.62</v>
      </c>
      <c r="J19" s="52" t="n">
        <f aca="false">IF(AND(B19&lt;&gt;"",E19="Oui",N(F19)&gt;0),MAX(J$4:J18)+1,"")</f>
        <v>12</v>
      </c>
    </row>
    <row r="20" customFormat="false" ht="15" hidden="false" customHeight="false" outlineLevel="0" collapsed="false">
      <c r="A20" s="22" t="s">
        <v>424</v>
      </c>
      <c r="B20" s="22" t="s">
        <v>433</v>
      </c>
      <c r="C20" s="14" t="s">
        <v>434</v>
      </c>
      <c r="D20" s="22" t="s">
        <v>336</v>
      </c>
      <c r="E20" s="23" t="s">
        <v>37</v>
      </c>
      <c r="F20" s="36" t="n">
        <v>1</v>
      </c>
      <c r="G20" s="46" t="n">
        <v>21.79</v>
      </c>
      <c r="H20" s="47"/>
      <c r="I20" s="24" t="n">
        <f aca="false">IF(E20="Oui",N(F20)*N(G20),0)</f>
        <v>21.79</v>
      </c>
      <c r="J20" s="52" t="n">
        <f aca="false">IF(AND(B20&lt;&gt;"",E20="Oui",N(F20)&gt;0),MAX(J$4:J19)+1,"")</f>
        <v>13</v>
      </c>
    </row>
    <row r="21" customFormat="false" ht="15" hidden="false" customHeight="false" outlineLevel="0" collapsed="false">
      <c r="A21" s="22" t="s">
        <v>424</v>
      </c>
      <c r="B21" s="22" t="s">
        <v>435</v>
      </c>
      <c r="C21" s="14" t="s">
        <v>436</v>
      </c>
      <c r="D21" s="22" t="s">
        <v>282</v>
      </c>
      <c r="E21" s="23" t="s">
        <v>37</v>
      </c>
      <c r="F21" s="36" t="n">
        <v>4</v>
      </c>
      <c r="G21" s="46" t="n">
        <v>0.69</v>
      </c>
      <c r="H21" s="47"/>
      <c r="I21" s="24" t="n">
        <f aca="false">IF(E21="Oui",N(F21)*N(G21),0)</f>
        <v>2.76</v>
      </c>
      <c r="J21" s="52" t="n">
        <f aca="false">IF(AND(B21&lt;&gt;"",E21="Oui",N(F21)&gt;0),MAX(J$4:J20)+1,"")</f>
        <v>14</v>
      </c>
    </row>
    <row r="22" customFormat="false" ht="15" hidden="false" customHeight="false" outlineLevel="0" collapsed="false">
      <c r="A22" s="22" t="s">
        <v>424</v>
      </c>
      <c r="B22" s="22" t="s">
        <v>437</v>
      </c>
      <c r="C22" s="14" t="s">
        <v>438</v>
      </c>
      <c r="D22" s="22" t="s">
        <v>439</v>
      </c>
      <c r="E22" s="23" t="s">
        <v>37</v>
      </c>
      <c r="F22" s="36" t="n">
        <v>3</v>
      </c>
      <c r="G22" s="46" t="n">
        <v>2.15</v>
      </c>
      <c r="H22" s="47"/>
      <c r="I22" s="24" t="n">
        <f aca="false">IF(E22="Oui",N(F22)*N(G22),0)</f>
        <v>6.45</v>
      </c>
      <c r="J22" s="52" t="n">
        <f aca="false">IF(AND(B22&lt;&gt;"",E22="Oui",N(F22)&gt;0),MAX(J$4:J21)+1,"")</f>
        <v>15</v>
      </c>
    </row>
    <row r="23" customFormat="false" ht="15" hidden="false" customHeight="false" outlineLevel="0" collapsed="false">
      <c r="A23" s="22" t="s">
        <v>424</v>
      </c>
      <c r="B23" s="22" t="s">
        <v>440</v>
      </c>
      <c r="C23" s="14" t="s">
        <v>441</v>
      </c>
      <c r="D23" s="22" t="s">
        <v>442</v>
      </c>
      <c r="E23" s="23" t="s">
        <v>37</v>
      </c>
      <c r="F23" s="36" t="n">
        <v>1</v>
      </c>
      <c r="G23" s="46" t="n">
        <v>3.06</v>
      </c>
      <c r="H23" s="47"/>
      <c r="I23" s="24" t="n">
        <f aca="false">IF(E23="Oui",N(F23)*N(G23),0)</f>
        <v>3.06</v>
      </c>
      <c r="J23" s="52" t="n">
        <f aca="false">IF(AND(B23&lt;&gt;"",E23="Oui",N(F23)&gt;0),MAX(J$4:J22)+1,"")</f>
        <v>16</v>
      </c>
    </row>
    <row r="24" customFormat="false" ht="15" hidden="false" customHeight="false" outlineLevel="0" collapsed="false">
      <c r="A24" s="48"/>
      <c r="B24" s="49" t="s">
        <v>443</v>
      </c>
      <c r="C24" s="48"/>
      <c r="D24" s="48"/>
      <c r="E24" s="48"/>
      <c r="F24" s="48"/>
      <c r="G24" s="48"/>
      <c r="H24" s="48"/>
      <c r="I24" s="50" t="n">
        <f aca="false">SUBTOTAL(9,I17:I23)</f>
        <v>59.41</v>
      </c>
    </row>
    <row r="25" customFormat="false" ht="15" hidden="false" customHeight="false" outlineLevel="0" collapsed="false">
      <c r="A25" s="43" t="s">
        <v>444</v>
      </c>
      <c r="B25" s="44"/>
      <c r="C25" s="44"/>
      <c r="D25" s="44"/>
      <c r="E25" s="44"/>
      <c r="F25" s="44"/>
      <c r="G25" s="44"/>
      <c r="H25" s="44"/>
      <c r="I25" s="44"/>
    </row>
    <row r="26" customFormat="false" ht="15" hidden="false" customHeight="false" outlineLevel="0" collapsed="false">
      <c r="A26" s="22" t="s">
        <v>444</v>
      </c>
      <c r="B26" s="28"/>
      <c r="C26" s="53"/>
      <c r="D26" s="28"/>
      <c r="E26" s="54" t="s">
        <v>37</v>
      </c>
      <c r="F26" s="28"/>
      <c r="G26" s="55"/>
      <c r="H26" s="54"/>
      <c r="I26" s="24" t="n">
        <f aca="false">IF(E26="Oui",N(F26)*N(G26),0)</f>
        <v>0</v>
      </c>
      <c r="J26" s="0" t="str">
        <f aca="false">IF(AND(B26&lt;&gt;"",E26="Oui",N(F26)&gt;0),MAX(J$4:J25)+1,"")</f>
        <v/>
      </c>
    </row>
    <row r="27" customFormat="false" ht="15" hidden="false" customHeight="false" outlineLevel="0" collapsed="false">
      <c r="A27" s="22" t="s">
        <v>444</v>
      </c>
      <c r="B27" s="28"/>
      <c r="C27" s="53"/>
      <c r="D27" s="28"/>
      <c r="E27" s="54" t="s">
        <v>37</v>
      </c>
      <c r="F27" s="28"/>
      <c r="G27" s="55"/>
      <c r="H27" s="54"/>
      <c r="I27" s="24" t="n">
        <f aca="false">IF(E27="Oui",N(F27)*N(G27),0)</f>
        <v>0</v>
      </c>
      <c r="J27" s="0" t="str">
        <f aca="false">IF(AND(B27&lt;&gt;"",E27="Oui",N(F27)&gt;0),MAX(J$4:J26)+1,"")</f>
        <v/>
      </c>
    </row>
    <row r="28" customFormat="false" ht="15" hidden="false" customHeight="false" outlineLevel="0" collapsed="false">
      <c r="A28" s="22" t="s">
        <v>444</v>
      </c>
      <c r="B28" s="28"/>
      <c r="C28" s="53"/>
      <c r="D28" s="28"/>
      <c r="E28" s="54" t="s">
        <v>37</v>
      </c>
      <c r="F28" s="28"/>
      <c r="G28" s="55"/>
      <c r="H28" s="54"/>
      <c r="I28" s="24" t="n">
        <f aca="false">IF(E28="Oui",N(F28)*N(G28),0)</f>
        <v>0</v>
      </c>
      <c r="J28" s="0" t="str">
        <f aca="false">IF(AND(B28&lt;&gt;"",E28="Oui",N(F28)&gt;0),MAX(J$4:J27)+1,"")</f>
        <v/>
      </c>
    </row>
    <row r="29" customFormat="false" ht="15" hidden="false" customHeight="false" outlineLevel="0" collapsed="false">
      <c r="A29" s="22" t="s">
        <v>444</v>
      </c>
      <c r="B29" s="28"/>
      <c r="C29" s="53"/>
      <c r="D29" s="28"/>
      <c r="E29" s="54" t="s">
        <v>37</v>
      </c>
      <c r="F29" s="28"/>
      <c r="G29" s="55"/>
      <c r="H29" s="54"/>
      <c r="I29" s="24" t="n">
        <f aca="false">IF(E29="Oui",N(F29)*N(G29),0)</f>
        <v>0</v>
      </c>
      <c r="J29" s="0" t="str">
        <f aca="false">IF(AND(B29&lt;&gt;"",E29="Oui",N(F29)&gt;0),MAX(J$4:J28)+1,"")</f>
        <v/>
      </c>
    </row>
    <row r="30" customFormat="false" ht="15" hidden="false" customHeight="false" outlineLevel="0" collapsed="false">
      <c r="A30" s="22" t="s">
        <v>444</v>
      </c>
      <c r="B30" s="28"/>
      <c r="C30" s="53"/>
      <c r="D30" s="28"/>
      <c r="E30" s="54" t="s">
        <v>37</v>
      </c>
      <c r="F30" s="28"/>
      <c r="G30" s="55"/>
      <c r="H30" s="54"/>
      <c r="I30" s="24" t="n">
        <f aca="false">IF(E30="Oui",N(F30)*N(G30),0)</f>
        <v>0</v>
      </c>
      <c r="J30" s="0" t="str">
        <f aca="false">IF(AND(B30&lt;&gt;"",E30="Oui",N(F30)&gt;0),MAX(J$4:J29)+1,"")</f>
        <v/>
      </c>
    </row>
    <row r="31" customFormat="false" ht="15" hidden="false" customHeight="false" outlineLevel="0" collapsed="false">
      <c r="A31" s="22" t="s">
        <v>444</v>
      </c>
      <c r="B31" s="28"/>
      <c r="C31" s="53"/>
      <c r="D31" s="28"/>
      <c r="E31" s="54" t="s">
        <v>37</v>
      </c>
      <c r="F31" s="28"/>
      <c r="G31" s="55"/>
      <c r="H31" s="54"/>
      <c r="I31" s="24" t="n">
        <f aca="false">IF(E31="Oui",N(F31)*N(G31),0)</f>
        <v>0</v>
      </c>
      <c r="J31" s="0" t="str">
        <f aca="false">IF(AND(B31&lt;&gt;"",E31="Oui",N(F31)&gt;0),MAX(J$4:J30)+1,"")</f>
        <v/>
      </c>
    </row>
    <row r="32" customFormat="false" ht="15" hidden="false" customHeight="false" outlineLevel="0" collapsed="false">
      <c r="A32" s="22" t="s">
        <v>444</v>
      </c>
      <c r="B32" s="28"/>
      <c r="C32" s="53"/>
      <c r="D32" s="28"/>
      <c r="E32" s="54" t="s">
        <v>37</v>
      </c>
      <c r="F32" s="28"/>
      <c r="G32" s="55"/>
      <c r="H32" s="54"/>
      <c r="I32" s="24" t="n">
        <f aca="false">IF(E32="Oui",N(F32)*N(G32),0)</f>
        <v>0</v>
      </c>
      <c r="J32" s="0" t="str">
        <f aca="false">IF(AND(B32&lt;&gt;"",E32="Oui",N(F32)&gt;0),MAX(J$4:J31)+1,"")</f>
        <v/>
      </c>
    </row>
    <row r="33" customFormat="false" ht="15" hidden="false" customHeight="false" outlineLevel="0" collapsed="false">
      <c r="A33" s="22" t="s">
        <v>444</v>
      </c>
      <c r="B33" s="28"/>
      <c r="C33" s="53"/>
      <c r="D33" s="28"/>
      <c r="E33" s="54" t="s">
        <v>37</v>
      </c>
      <c r="F33" s="28"/>
      <c r="G33" s="55"/>
      <c r="H33" s="54"/>
      <c r="I33" s="24" t="n">
        <f aca="false">IF(E33="Oui",N(F33)*N(G33),0)</f>
        <v>0</v>
      </c>
      <c r="J33" s="0" t="str">
        <f aca="false">IF(AND(B33&lt;&gt;"",E33="Oui",N(F33)&gt;0),MAX(J$4:J32)+1,"")</f>
        <v/>
      </c>
    </row>
    <row r="34" customFormat="false" ht="15" hidden="false" customHeight="false" outlineLevel="0" collapsed="false">
      <c r="A34" s="22" t="s">
        <v>444</v>
      </c>
      <c r="B34" s="28"/>
      <c r="C34" s="53"/>
      <c r="D34" s="28"/>
      <c r="E34" s="54" t="s">
        <v>37</v>
      </c>
      <c r="F34" s="28"/>
      <c r="G34" s="55"/>
      <c r="H34" s="54"/>
      <c r="I34" s="24" t="n">
        <f aca="false">IF(E34="Oui",N(F34)*N(G34),0)</f>
        <v>0</v>
      </c>
      <c r="J34" s="0" t="str">
        <f aca="false">IF(AND(B34&lt;&gt;"",E34="Oui",N(F34)&gt;0),MAX(J$4:J33)+1,"")</f>
        <v/>
      </c>
    </row>
    <row r="35" customFormat="false" ht="15" hidden="false" customHeight="false" outlineLevel="0" collapsed="false">
      <c r="A35" s="22" t="s">
        <v>444</v>
      </c>
      <c r="B35" s="28"/>
      <c r="C35" s="53"/>
      <c r="D35" s="28"/>
      <c r="E35" s="54" t="s">
        <v>37</v>
      </c>
      <c r="F35" s="28"/>
      <c r="G35" s="55"/>
      <c r="H35" s="54"/>
      <c r="I35" s="24" t="n">
        <f aca="false">IF(E35="Oui",N(F35)*N(G35),0)</f>
        <v>0</v>
      </c>
      <c r="J35" s="0" t="str">
        <f aca="false">IF(AND(B35&lt;&gt;"",E35="Oui",N(F35)&gt;0),MAX(J$4:J34)+1,"")</f>
        <v/>
      </c>
    </row>
    <row r="36" customFormat="false" ht="15" hidden="false" customHeight="false" outlineLevel="0" collapsed="false">
      <c r="A36" s="48"/>
      <c r="B36" s="49" t="s">
        <v>445</v>
      </c>
      <c r="C36" s="48"/>
      <c r="D36" s="48"/>
      <c r="E36" s="48"/>
      <c r="F36" s="48"/>
      <c r="G36" s="48"/>
      <c r="H36" s="48"/>
      <c r="I36" s="50" t="n">
        <f aca="false">SUBTOTAL(9,I26:I35)</f>
        <v>0</v>
      </c>
    </row>
    <row r="37" customFormat="false" ht="15" hidden="false" customHeight="false" outlineLevel="0" collapsed="false">
      <c r="A37" s="29"/>
      <c r="B37" s="7" t="s">
        <v>446</v>
      </c>
      <c r="C37" s="29"/>
      <c r="D37" s="29"/>
      <c r="E37" s="29"/>
      <c r="F37" s="29"/>
      <c r="G37" s="29"/>
      <c r="H37" s="29"/>
      <c r="I37" s="31" t="n">
        <f aca="false">SUBTOTAL(9,I5:I36)</f>
        <v>143.91</v>
      </c>
    </row>
  </sheetData>
  <dataValidations count="1">
    <dataValidation allowBlank="false" errorStyle="stop" operator="between" showDropDown="false" showErrorMessage="false" showInputMessage="false" sqref="E6:E14 E17:E23 E26:E35" type="list">
      <formula1>"Oui,Non"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34"/>
    <col collapsed="false" customWidth="true" hidden="false" outlineLevel="0" max="3" min="3" style="0" width="8"/>
    <col collapsed="false" customWidth="true" hidden="false" outlineLevel="0" max="4" min="4" style="0" width="9"/>
    <col collapsed="false" customWidth="true" hidden="false" outlineLevel="0" max="5" min="5" style="0" width="11"/>
    <col collapsed="false" customWidth="true" hidden="false" outlineLevel="0" max="6" min="6" style="0" width="10"/>
    <col collapsed="false" customWidth="true" hidden="false" outlineLevel="0" max="7" min="7" style="0" width="8"/>
    <col collapsed="false" customWidth="true" hidden="false" outlineLevel="0" max="8" min="8" style="0" width="9"/>
    <col collapsed="false" customWidth="true" hidden="false" outlineLevel="0" max="9" min="9" style="0" width="11"/>
    <col collapsed="false" customWidth="true" hidden="false" outlineLevel="0" max="10" min="10" style="0" width="12"/>
  </cols>
  <sheetData>
    <row r="1" customFormat="false" ht="16.15" hidden="false" customHeight="false" outlineLevel="0" collapsed="false">
      <c r="A1" s="56" t="s">
        <v>447</v>
      </c>
    </row>
    <row r="3" customFormat="false" ht="15" hidden="false" customHeight="false" outlineLevel="0" collapsed="false">
      <c r="A3" s="38" t="s">
        <v>448</v>
      </c>
      <c r="B3" s="38" t="s">
        <v>449</v>
      </c>
      <c r="C3" s="38" t="s">
        <v>396</v>
      </c>
      <c r="D3" s="38" t="s">
        <v>13</v>
      </c>
      <c r="E3" s="38" t="s">
        <v>450</v>
      </c>
      <c r="F3" s="38" t="s">
        <v>451</v>
      </c>
      <c r="G3" s="38" t="s">
        <v>396</v>
      </c>
      <c r="H3" s="38" t="s">
        <v>13</v>
      </c>
      <c r="I3" s="38" t="s">
        <v>450</v>
      </c>
      <c r="J3" s="38" t="s">
        <v>452</v>
      </c>
    </row>
    <row r="4" customFormat="false" ht="15" hidden="false" customHeight="false" outlineLevel="0" collapsed="false">
      <c r="A4" s="22" t="s">
        <v>453</v>
      </c>
      <c r="B4" s="22" t="s">
        <v>121</v>
      </c>
      <c r="C4" s="36" t="n">
        <v>0.5</v>
      </c>
      <c r="D4" s="22" t="s">
        <v>199</v>
      </c>
      <c r="E4" s="36" t="n">
        <v>60</v>
      </c>
      <c r="F4" s="22" t="s">
        <v>454</v>
      </c>
      <c r="G4" s="36" t="n">
        <v>0</v>
      </c>
      <c r="H4" s="22" t="s">
        <v>199</v>
      </c>
      <c r="I4" s="36" t="n">
        <v>0</v>
      </c>
      <c r="J4" s="24" t="n">
        <f aca="false">C4*E4-G4*I4</f>
        <v>30</v>
      </c>
    </row>
    <row r="5" customFormat="false" ht="15" hidden="false" customHeight="false" outlineLevel="0" collapsed="false">
      <c r="A5" s="22" t="s">
        <v>455</v>
      </c>
      <c r="B5" s="22" t="s">
        <v>130</v>
      </c>
      <c r="C5" s="36" t="n">
        <v>0.6</v>
      </c>
      <c r="D5" s="22" t="s">
        <v>199</v>
      </c>
      <c r="E5" s="36" t="n">
        <v>40</v>
      </c>
      <c r="F5" s="22" t="s">
        <v>157</v>
      </c>
      <c r="G5" s="36" t="n">
        <v>0.5</v>
      </c>
      <c r="H5" s="22" t="s">
        <v>199</v>
      </c>
      <c r="I5" s="36" t="n">
        <v>45</v>
      </c>
      <c r="J5" s="24" t="n">
        <f aca="false">C5*E5-G5*I5</f>
        <v>1.5</v>
      </c>
    </row>
    <row r="6" customFormat="false" ht="15" hidden="false" customHeight="false" outlineLevel="0" collapsed="false">
      <c r="A6" s="22" t="s">
        <v>456</v>
      </c>
      <c r="B6" s="22" t="s">
        <v>457</v>
      </c>
      <c r="C6" s="36" t="n">
        <v>1</v>
      </c>
      <c r="D6" s="22" t="s">
        <v>236</v>
      </c>
      <c r="E6" s="36" t="n">
        <v>4.5</v>
      </c>
      <c r="F6" s="22" t="s">
        <v>110</v>
      </c>
      <c r="G6" s="36" t="n">
        <v>4</v>
      </c>
      <c r="H6" s="22" t="s">
        <v>240</v>
      </c>
      <c r="I6" s="36" t="n">
        <v>0.3</v>
      </c>
      <c r="J6" s="24" t="n">
        <f aca="false">C6*E6-G6*I6</f>
        <v>3.3</v>
      </c>
    </row>
    <row r="7" customFormat="false" ht="15" hidden="false" customHeight="false" outlineLevel="0" collapsed="false">
      <c r="A7" s="22" t="s">
        <v>458</v>
      </c>
      <c r="B7" s="22" t="s">
        <v>459</v>
      </c>
      <c r="C7" s="36" t="n">
        <v>1</v>
      </c>
      <c r="D7" s="22" t="s">
        <v>199</v>
      </c>
      <c r="E7" s="36" t="n">
        <v>47.5</v>
      </c>
      <c r="F7" s="22" t="s">
        <v>460</v>
      </c>
      <c r="G7" s="36" t="n">
        <v>1</v>
      </c>
      <c r="H7" s="22" t="s">
        <v>199</v>
      </c>
      <c r="I7" s="36" t="n">
        <v>14.9</v>
      </c>
      <c r="J7" s="24" t="n">
        <f aca="false">C7*E7-G7*I7</f>
        <v>32.6</v>
      </c>
    </row>
    <row r="8" customFormat="false" ht="15" hidden="false" customHeight="false" outlineLevel="0" collapsed="false">
      <c r="A8" s="22" t="s">
        <v>461</v>
      </c>
      <c r="B8" s="22" t="s">
        <v>462</v>
      </c>
      <c r="C8" s="36" t="n">
        <v>1</v>
      </c>
      <c r="D8" s="22" t="s">
        <v>382</v>
      </c>
      <c r="E8" s="36" t="n">
        <v>5.4</v>
      </c>
      <c r="F8" s="22" t="s">
        <v>454</v>
      </c>
      <c r="G8" s="36" t="n">
        <v>0</v>
      </c>
      <c r="H8" s="22" t="s">
        <v>199</v>
      </c>
      <c r="I8" s="36" t="n">
        <v>0</v>
      </c>
      <c r="J8" s="24" t="n">
        <f aca="false">C8*E8-G8*I8</f>
        <v>5.4</v>
      </c>
    </row>
    <row r="10" customFormat="false" ht="15" hidden="false" customHeight="false" outlineLevel="0" collapsed="false">
      <c r="A10" s="5" t="s">
        <v>463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24"/>
    <col collapsed="false" customWidth="true" hidden="false" outlineLevel="0" max="3" min="3" style="0" width="90"/>
  </cols>
  <sheetData>
    <row r="1" customFormat="false" ht="16.15" hidden="false" customHeight="false" outlineLevel="0" collapsed="false">
      <c r="A1" s="56" t="s">
        <v>464</v>
      </c>
    </row>
    <row r="3" customFormat="false" ht="15" hidden="false" customHeight="false" outlineLevel="0" collapsed="false">
      <c r="A3" s="57" t="s">
        <v>465</v>
      </c>
      <c r="B3" s="57" t="s">
        <v>466</v>
      </c>
      <c r="C3" s="57" t="s">
        <v>467</v>
      </c>
    </row>
    <row r="4" customFormat="false" ht="15" hidden="false" customHeight="false" outlineLevel="0" collapsed="false">
      <c r="A4" s="58" t="s">
        <v>468</v>
      </c>
      <c r="B4" s="58" t="s">
        <v>469</v>
      </c>
      <c r="C4" s="59" t="s">
        <v>470</v>
      </c>
    </row>
    <row r="5" customFormat="false" ht="15" hidden="false" customHeight="false" outlineLevel="0" collapsed="false">
      <c r="A5" s="58" t="s">
        <v>471</v>
      </c>
      <c r="B5" s="58" t="s">
        <v>472</v>
      </c>
      <c r="C5" s="59" t="s">
        <v>473</v>
      </c>
    </row>
    <row r="6" customFormat="false" ht="15" hidden="false" customHeight="false" outlineLevel="0" collapsed="false">
      <c r="A6" s="58" t="s">
        <v>474</v>
      </c>
      <c r="B6" s="58" t="s">
        <v>475</v>
      </c>
      <c r="C6" s="59" t="s">
        <v>476</v>
      </c>
    </row>
    <row r="7" customFormat="false" ht="15" hidden="false" customHeight="false" outlineLevel="0" collapsed="false">
      <c r="A7" s="58" t="s">
        <v>477</v>
      </c>
      <c r="B7" s="58" t="s">
        <v>478</v>
      </c>
      <c r="C7" s="59" t="s">
        <v>479</v>
      </c>
    </row>
    <row r="8" customFormat="false" ht="15" hidden="false" customHeight="false" outlineLevel="0" collapsed="false">
      <c r="A8" s="58" t="s">
        <v>480</v>
      </c>
      <c r="B8" s="58" t="s">
        <v>481</v>
      </c>
      <c r="C8" s="59" t="s">
        <v>482</v>
      </c>
    </row>
    <row r="9" customFormat="false" ht="15" hidden="false" customHeight="false" outlineLevel="0" collapsed="false">
      <c r="A9" s="58" t="s">
        <v>483</v>
      </c>
      <c r="B9" s="58" t="s">
        <v>484</v>
      </c>
      <c r="C9" s="59" t="s">
        <v>485</v>
      </c>
    </row>
    <row r="10" customFormat="false" ht="15" hidden="false" customHeight="false" outlineLevel="0" collapsed="false">
      <c r="A10" s="58" t="s">
        <v>486</v>
      </c>
      <c r="B10" s="58" t="s">
        <v>487</v>
      </c>
      <c r="C10" s="59" t="s">
        <v>488</v>
      </c>
    </row>
    <row r="11" customFormat="false" ht="15" hidden="false" customHeight="false" outlineLevel="0" collapsed="false">
      <c r="A11" s="58" t="s">
        <v>489</v>
      </c>
      <c r="B11" s="58" t="s">
        <v>481</v>
      </c>
      <c r="C11" s="59" t="s">
        <v>490</v>
      </c>
    </row>
    <row r="12" customFormat="false" ht="15" hidden="false" customHeight="false" outlineLevel="0" collapsed="false">
      <c r="A12" s="58" t="s">
        <v>491</v>
      </c>
      <c r="B12" s="58" t="s">
        <v>472</v>
      </c>
      <c r="C12" s="59" t="s">
        <v>473</v>
      </c>
    </row>
    <row r="13" customFormat="false" ht="15" hidden="false" customHeight="false" outlineLevel="0" collapsed="false">
      <c r="A13" s="58" t="s">
        <v>492</v>
      </c>
      <c r="B13" s="58" t="s">
        <v>469</v>
      </c>
      <c r="C13" s="59" t="s">
        <v>493</v>
      </c>
    </row>
    <row r="14" customFormat="false" ht="15" hidden="false" customHeight="false" outlineLevel="0" collapsed="false">
      <c r="A14" s="58" t="s">
        <v>494</v>
      </c>
      <c r="B14" s="58" t="s">
        <v>472</v>
      </c>
      <c r="C14" s="59" t="s">
        <v>495</v>
      </c>
    </row>
    <row r="15" customFormat="false" ht="15" hidden="false" customHeight="false" outlineLevel="0" collapsed="false">
      <c r="A15" s="58" t="s">
        <v>496</v>
      </c>
      <c r="B15" s="58" t="s">
        <v>481</v>
      </c>
      <c r="C15" s="59" t="s">
        <v>497</v>
      </c>
    </row>
  </sheetData>
  <hyperlinks>
    <hyperlink ref="C4" r:id="rId1" display="https://directinfo.webmanagercenter.com/2026/09/29/poulet-escalope-oeufs-pas-de-penurie-annoncee-en-tunisie/"/>
    <hyperlink ref="C5" r:id="rId2" display="https://www.tunisienumerique.com/prix-alimentaires-a-sfax-le-point-sur-les-marches-ce-mardi-photosvideo/"/>
    <hyperlink ref="C6" r:id="rId3" display="https://businessnews.com.tn/2026/10/14/viande-rouge-le-kilo-dagneau-a-80-dinars-le-spectre-dune-nouvelle-flambee-avant-ramadan/1422974/"/>
    <hyperlink ref="C7" r:id="rId4" display="https://fr.allafrica.com/stories/202608200427.html"/>
    <hyperlink ref="C8" r:id="rId5" display="https://www.geantdrive.tn/tunis-city/162-legumes-frais"/>
    <hyperlink ref="C9" r:id="rId6" display="https://www.uthina.com.tn/categorie-produit/huile-dolive/"/>
    <hyperlink ref="C10" r:id="rId7" display="https://www.lapresse.tn/?p=255326"/>
    <hyperlink ref="C11" r:id="rId8" display="https://www.geantdrive.tn/tunis-city/165-fruits"/>
    <hyperlink ref="C12" r:id="rId9" display="https://www.tunisienumerique.com/prix-alimentaires-a-sfax-le-point-sur-les-marches-ce-mardi-photosvideo/"/>
    <hyperlink ref="C13" r:id="rId10" display="https://directinfo.webmanagercenter.com/2026/10/22/tunisie-une-baisse-annoncee-des-prix-de-la-volaille-des-fruits-et-des-poissons"/>
    <hyperlink ref="C14" r:id="rId11" display="https://www.tunisienumerique.com/alimentation-a-sfax-quels-sont-les-prix-du-jour-au-marche-photosvideo-28/"/>
    <hyperlink ref="C15" r:id="rId12" display="https://www.geantdrive.tn/tunis-city/340-droguerie-et-entreti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154</v>
      </c>
      <c r="B1" s="0" t="str">
        <f aca="false">Plats!I5</f>
        <v>Jour 1 Déjeuner – Couscous au poisson</v>
      </c>
      <c r="C1" s="0" t="s">
        <v>37</v>
      </c>
      <c r="E1" s="0" t="n">
        <f aca="false">IF(A1="",0,SUMIFS('Ingrédients par plat'!$C$5:$C$596,'Ingrédients par plat'!$B$5:$B$596,A1,'Ingrédients par plat'!$I$5:$I$596,"Oui"))</f>
        <v>1800</v>
      </c>
      <c r="F1" s="0" t="n">
        <f aca="false">IF(E1&gt;0,COUNTIF(E$1:E1,"&gt;0"),"")</f>
        <v>1</v>
      </c>
    </row>
    <row r="2" customFormat="false" ht="15" hidden="false" customHeight="false" outlineLevel="0" collapsed="false">
      <c r="A2" s="0" t="s">
        <v>127</v>
      </c>
      <c r="B2" s="0" t="str">
        <f aca="false">Plats!I6</f>
        <v>Jour 1 Dîner – Salade méchouia + thon, œufs + pain maison</v>
      </c>
      <c r="C2" s="0" t="s">
        <v>498</v>
      </c>
      <c r="E2" s="0" t="n">
        <f aca="false">IF(A2="",0,SUMIFS('Ingrédients par plat'!$C$5:$C$596,'Ingrédients par plat'!$B$5:$B$596,A2,'Ingrédients par plat'!$I$5:$I$596,"Oui"))</f>
        <v>3100</v>
      </c>
      <c r="F2" s="0" t="n">
        <f aca="false">IF(E2&gt;0,COUNTIF(E$1:E2,"&gt;0"),"")</f>
        <v>2</v>
      </c>
    </row>
    <row r="3" customFormat="false" ht="15" hidden="false" customHeight="false" outlineLevel="0" collapsed="false">
      <c r="A3" s="0" t="s">
        <v>146</v>
      </c>
      <c r="B3" s="0" t="str">
        <f aca="false">Plats!I7</f>
        <v>Jour 2 Déjeuner – Tajine tunisien au poulet</v>
      </c>
      <c r="E3" s="0" t="n">
        <f aca="false">IF(A3="",0,SUMIFS('Ingrédients par plat'!$C$5:$C$596,'Ingrédients par plat'!$B$5:$B$596,A3,'Ingrédients par plat'!$I$5:$I$596,"Oui"))</f>
        <v>1400</v>
      </c>
      <c r="F3" s="0" t="n">
        <f aca="false">IF(E3&gt;0,COUNTIF(E$1:E3,"&gt;0"),"")</f>
        <v>3</v>
      </c>
    </row>
    <row r="4" customFormat="false" ht="15" hidden="false" customHeight="false" outlineLevel="0" collapsed="false">
      <c r="A4" s="0" t="s">
        <v>114</v>
      </c>
      <c r="B4" s="0" t="str">
        <f aca="false">Plats!I8</f>
        <v>Jour 2 Dîner – Chorba frik</v>
      </c>
      <c r="E4" s="0" t="n">
        <f aca="false">IF(A4="",0,SUMIFS('Ingrédients par plat'!$C$5:$C$596,'Ingrédients par plat'!$B$5:$B$596,A4,'Ingrédients par plat'!$I$5:$I$596,"Oui"))</f>
        <v>650</v>
      </c>
      <c r="F4" s="0" t="n">
        <f aca="false">IF(E4&gt;0,COUNTIF(E$1:E4,"&gt;0"),"")</f>
        <v>4</v>
      </c>
    </row>
    <row r="5" customFormat="false" ht="15" hidden="false" customHeight="false" outlineLevel="0" collapsed="false">
      <c r="A5" s="0" t="s">
        <v>134</v>
      </c>
      <c r="B5" s="0" t="str">
        <f aca="false">Plats!I9</f>
        <v>Jour 3 Déjeuner – Marqa jelbana bel djedj</v>
      </c>
      <c r="E5" s="0" t="n">
        <f aca="false">IF(A5="",0,SUMIFS('Ingrédients par plat'!$C$5:$C$596,'Ingrédients par plat'!$B$5:$B$596,A5,'Ingrédients par plat'!$I$5:$I$596,"Oui"))</f>
        <v>1000</v>
      </c>
      <c r="F5" s="0" t="n">
        <f aca="false">IF(E5&gt;0,COUNTIF(E$1:E5,"&gt;0"),"")</f>
        <v>5</v>
      </c>
    </row>
    <row r="6" customFormat="false" ht="15" hidden="false" customHeight="false" outlineLevel="0" collapsed="false">
      <c r="A6" s="0" t="s">
        <v>142</v>
      </c>
      <c r="B6" s="0" t="str">
        <f aca="false">Plats!I10</f>
        <v>Jour 3 Dîner – Ojja merguez + pain</v>
      </c>
      <c r="E6" s="0" t="n">
        <f aca="false">IF(A6="",0,SUMIFS('Ingrédients par plat'!$C$5:$C$596,'Ingrédients par plat'!$B$5:$B$596,A6,'Ingrédients par plat'!$I$5:$I$596,"Oui"))</f>
        <v>1300</v>
      </c>
      <c r="F6" s="0" t="n">
        <f aca="false">IF(E6&gt;0,COUNTIF(E$1:E6,"&gt;0"),"")</f>
        <v>6</v>
      </c>
    </row>
    <row r="7" customFormat="false" ht="15" hidden="false" customHeight="false" outlineLevel="0" collapsed="false">
      <c r="A7" s="0" t="s">
        <v>121</v>
      </c>
      <c r="B7" s="0" t="str">
        <f aca="false">Plats!I11</f>
        <v>Jour 4 Déjeuner – Spaghetti tunisien</v>
      </c>
      <c r="E7" s="0" t="n">
        <f aca="false">IF(A7="",0,SUMIFS('Ingrédients par plat'!$C$5:$C$596,'Ingrédients par plat'!$B$5:$B$596,A7,'Ingrédients par plat'!$I$5:$I$596,"Oui"))</f>
        <v>400</v>
      </c>
      <c r="F7" s="0" t="n">
        <f aca="false">IF(E7&gt;0,COUNTIF(E$1:E7,"&gt;0"),"")</f>
        <v>7</v>
      </c>
    </row>
    <row r="8" customFormat="false" ht="15" hidden="false" customHeight="false" outlineLevel="0" collapsed="false">
      <c r="A8" s="0" t="s">
        <v>152</v>
      </c>
      <c r="B8" s="0" t="str">
        <f aca="false">Plats!I12</f>
        <v>Jour 4 Dîner – Bricks au thon + salade verte</v>
      </c>
      <c r="E8" s="0" t="n">
        <f aca="false">IF(A8="",0,SUMIFS('Ingrédients par plat'!$C$5:$C$596,'Ingrédients par plat'!$B$5:$B$596,A8,'Ingrédients par plat'!$I$5:$I$596,"Oui"))</f>
        <v>300</v>
      </c>
      <c r="F8" s="0" t="n">
        <f aca="false">IF(E8&gt;0,COUNTIF(E$1:E8,"&gt;0"),"")</f>
        <v>8</v>
      </c>
    </row>
    <row r="9" customFormat="false" ht="15" hidden="false" customHeight="false" outlineLevel="0" collapsed="false">
      <c r="A9" s="0" t="s">
        <v>157</v>
      </c>
      <c r="B9" s="0" t="str">
        <f aca="false">Plats!I13</f>
        <v>Jour 5 Déjeuner – Mloukhia</v>
      </c>
      <c r="E9" s="0" t="n">
        <f aca="false">IF(A9="",0,SUMIFS('Ingrédients par plat'!$C$5:$C$596,'Ingrédients par plat'!$B$5:$B$596,A9,'Ingrédients par plat'!$I$5:$I$596,"Oui"))</f>
        <v>700</v>
      </c>
      <c r="F9" s="0" t="n">
        <f aca="false">IF(E9&gt;0,COUNTIF(E$1:E9,"&gt;0"),"")</f>
        <v>9</v>
      </c>
    </row>
    <row r="10" customFormat="false" ht="15" hidden="false" customHeight="false" outlineLevel="0" collapsed="false">
      <c r="A10" s="0" t="s">
        <v>130</v>
      </c>
      <c r="B10" s="0" t="str">
        <f aca="false">Plats!I14</f>
        <v>Jour 5 Dîner – Chorba langues d'oiseaux + salade tunisienne</v>
      </c>
      <c r="E10" s="0" t="n">
        <f aca="false">IF(A10="",0,SUMIFS('Ingrédients par plat'!$C$5:$C$596,'Ingrédients par plat'!$B$5:$B$596,A10,'Ingrédients par plat'!$I$5:$I$596,"Oui"))</f>
        <v>500</v>
      </c>
      <c r="F10" s="0" t="n">
        <f aca="false">IF(E10&gt;0,COUNTIF(E$1:E10,"&gt;0"),"")</f>
        <v>10</v>
      </c>
    </row>
    <row r="11" customFormat="false" ht="15" hidden="false" customHeight="false" outlineLevel="0" collapsed="false">
      <c r="A11" s="0" t="s">
        <v>89</v>
      </c>
      <c r="B11" s="0" t="str">
        <f aca="false">Plats!I15</f>
        <v>Jour 6 Déjeuner – Marqa loubya bel djedj</v>
      </c>
      <c r="E11" s="0" t="n">
        <f aca="false">IF(A11="",0,SUMIFS('Ingrédients par plat'!$C$5:$C$596,'Ingrédients par plat'!$B$5:$B$596,A11,'Ingrédients par plat'!$I$5:$I$596,"Oui"))</f>
        <v>1000</v>
      </c>
      <c r="F11" s="0" t="n">
        <f aca="false">IF(E11&gt;0,COUNTIF(E$1:E11,"&gt;0"),"")</f>
        <v>11</v>
      </c>
    </row>
    <row r="12" customFormat="false" ht="15" hidden="false" customHeight="false" outlineLevel="0" collapsed="false">
      <c r="A12" s="0" t="s">
        <v>172</v>
      </c>
      <c r="B12" s="0" t="str">
        <f aca="false">Plats!I16</f>
        <v>Jour 6 Dîner – Kefteji</v>
      </c>
      <c r="E12" s="0" t="n">
        <f aca="false">IF(A12="",0,SUMIFS('Ingrédients par plat'!$C$5:$C$596,'Ingrédients par plat'!$B$5:$B$596,A12,'Ingrédients par plat'!$I$5:$I$596,"Oui"))</f>
        <v>600</v>
      </c>
      <c r="F12" s="0" t="n">
        <f aca="false">IF(E12&gt;0,COUNTIF(E$1:E12,"&gt;0"),"")</f>
        <v>12</v>
      </c>
    </row>
    <row r="13" customFormat="false" ht="15" hidden="false" customHeight="false" outlineLevel="0" collapsed="false">
      <c r="A13" s="0" t="s">
        <v>109</v>
      </c>
      <c r="B13" s="0" t="str">
        <f aca="false">Plats!I17</f>
        <v>Jour 7 Déjeuner – M'hamsa</v>
      </c>
      <c r="E13" s="0" t="n">
        <f aca="false">IF(A13="",0,SUMIFS('Ingrédients par plat'!$C$5:$C$596,'Ingrédients par plat'!$B$5:$B$596,A13,'Ingrédients par plat'!$I$5:$I$596,"Oui"))</f>
        <v>6</v>
      </c>
      <c r="F13" s="0" t="n">
        <f aca="false">IF(E13&gt;0,COUNTIF(E$1:E13,"&gt;0"),"")</f>
        <v>13</v>
      </c>
    </row>
    <row r="14" customFormat="false" ht="15" hidden="false" customHeight="false" outlineLevel="0" collapsed="false">
      <c r="A14" s="0" t="s">
        <v>110</v>
      </c>
      <c r="B14" s="0" t="str">
        <f aca="false">Plats!I18</f>
        <v>Jour 7 Dîner – Salade + escalope + frites</v>
      </c>
      <c r="E14" s="0" t="n">
        <f aca="false">IF(A14="",0,SUMIFS('Ingrédients par plat'!$C$5:$C$596,'Ingrédients par plat'!$B$5:$B$596,A14,'Ingrédients par plat'!$I$5:$I$596,"Oui"))</f>
        <v>55</v>
      </c>
      <c r="F14" s="0" t="n">
        <f aca="false">IF(E14&gt;0,COUNTIF(E$1:E14,"&gt;0"),"")</f>
        <v>14</v>
      </c>
    </row>
    <row r="15" customFormat="false" ht="15" hidden="false" customHeight="false" outlineLevel="0" collapsed="false">
      <c r="A15" s="0" t="s">
        <v>115</v>
      </c>
      <c r="B15" s="0" t="str">
        <f aca="false">Plats!I19</f>
        <v>Jour 8 Déjeuner – Riz djerbien</v>
      </c>
      <c r="E15" s="0" t="n">
        <f aca="false">IF(A15="",0,SUMIFS('Ingrédients par plat'!$C$5:$C$596,'Ingrédients par plat'!$B$5:$B$596,A15,'Ingrédients par plat'!$I$5:$I$596,"Oui"))</f>
        <v>360</v>
      </c>
      <c r="F15" s="0" t="n">
        <f aca="false">IF(E15&gt;0,COUNTIF(E$1:E15,"&gt;0"),"")</f>
        <v>15</v>
      </c>
    </row>
    <row r="16" customFormat="false" ht="15" hidden="false" customHeight="false" outlineLevel="0" collapsed="false">
      <c r="A16" s="0" t="s">
        <v>92</v>
      </c>
      <c r="B16" s="0" t="str">
        <f aca="false">Plats!I20</f>
        <v>Jour 8 Dîner – Tajine sabanekh</v>
      </c>
      <c r="E16" s="0" t="n">
        <f aca="false">IF(A16="",0,SUMIFS('Ingrédients par plat'!$C$5:$C$596,'Ingrédients par plat'!$B$5:$B$596,A16,'Ingrédients par plat'!$I$5:$I$596,"Oui"))</f>
        <v>5700</v>
      </c>
      <c r="F16" s="0" t="n">
        <f aca="false">IF(E16&gt;0,COUNTIF(E$1:E16,"&gt;0"),"")</f>
        <v>16</v>
      </c>
    </row>
    <row r="17" customFormat="false" ht="15" hidden="false" customHeight="false" outlineLevel="0" collapsed="false">
      <c r="A17" s="0" t="s">
        <v>108</v>
      </c>
      <c r="B17" s="0" t="str">
        <f aca="false">Plats!I21</f>
        <v>Jour 9 Déjeuner – Markat batata</v>
      </c>
      <c r="E17" s="0" t="n">
        <f aca="false">IF(A17="",0,SUMIFS('Ingrédients par plat'!$C$5:$C$596,'Ingrédients par plat'!$B$5:$B$596,A17,'Ingrédients par plat'!$I$5:$I$596,"Oui"))</f>
        <v>4650</v>
      </c>
      <c r="F17" s="0" t="n">
        <f aca="false">IF(E17&gt;0,COUNTIF(E$1:E17,"&gt;0"),"")</f>
        <v>17</v>
      </c>
    </row>
    <row r="18" customFormat="false" ht="15" hidden="false" customHeight="false" outlineLevel="0" collapsed="false">
      <c r="A18" s="0" t="s">
        <v>93</v>
      </c>
      <c r="B18" s="0" t="str">
        <f aca="false">Plats!I22</f>
        <v>Jour 9 Dîner – Salade + escalope</v>
      </c>
      <c r="E18" s="0" t="n">
        <f aca="false">IF(A18="",0,SUMIFS('Ingrédients par plat'!$C$5:$C$596,'Ingrédients par plat'!$B$5:$B$596,A18,'Ingrédients par plat'!$I$5:$I$596,"Oui"))</f>
        <v>2500</v>
      </c>
      <c r="F18" s="0" t="n">
        <f aca="false">IF(E18&gt;0,COUNTIF(E$1:E18,"&gt;0"),"")</f>
        <v>18</v>
      </c>
    </row>
    <row r="19" customFormat="false" ht="15" hidden="false" customHeight="false" outlineLevel="0" collapsed="false">
      <c r="A19" s="0" t="s">
        <v>97</v>
      </c>
      <c r="B19" s="0" t="str">
        <f aca="false">Plats!I23</f>
        <v>Jour 10 Déjeuner – Spaghetti tunisien</v>
      </c>
      <c r="E19" s="0" t="n">
        <f aca="false">IF(A19="",0,SUMIFS('Ingrédients par plat'!$C$5:$C$596,'Ingrédients par plat'!$B$5:$B$596,A19,'Ingrédients par plat'!$I$5:$I$596,"Oui"))</f>
        <v>370</v>
      </c>
      <c r="F19" s="0" t="n">
        <f aca="false">IF(E19&gt;0,COUNTIF(E$1:E19,"&gt;0"),"")</f>
        <v>19</v>
      </c>
    </row>
    <row r="20" customFormat="false" ht="15" hidden="false" customHeight="false" outlineLevel="0" collapsed="false">
      <c r="A20" s="0" t="s">
        <v>90</v>
      </c>
      <c r="B20" s="0" t="str">
        <f aca="false">Plats!I24</f>
        <v>Jour 10 Dîner – Salade + escalope</v>
      </c>
      <c r="E20" s="0" t="n">
        <f aca="false">IF(A20="",0,SUMIFS('Ingrédients par plat'!$C$5:$C$596,'Ingrédients par plat'!$B$5:$B$596,A20,'Ingrédients par plat'!$I$5:$I$596,"Oui"))</f>
        <v>1500</v>
      </c>
      <c r="F20" s="0" t="n">
        <f aca="false">IF(E20&gt;0,COUNTIF(E$1:E20,"&gt;0"),"")</f>
        <v>20</v>
      </c>
    </row>
    <row r="21" customFormat="false" ht="15" hidden="false" customHeight="false" outlineLevel="0" collapsed="false">
      <c r="A21" s="0" t="s">
        <v>91</v>
      </c>
      <c r="B21" s="0" t="str">
        <f aca="false">Plats!I25</f>
        <v>Jour 11 Déjeuner – Couscous aux légumes et pois chiches</v>
      </c>
      <c r="E21" s="0" t="n">
        <f aca="false">IF(A21="",0,SUMIFS('Ingrédients par plat'!$C$5:$C$596,'Ingrédients par plat'!$B$5:$B$596,A21,'Ingrédients par plat'!$I$5:$I$596,"Oui"))</f>
        <v>1800</v>
      </c>
      <c r="F21" s="0" t="n">
        <f aca="false">IF(E21&gt;0,COUNTIF(E$1:E21,"&gt;0"),"")</f>
        <v>21</v>
      </c>
    </row>
    <row r="22" customFormat="false" ht="15" hidden="false" customHeight="false" outlineLevel="0" collapsed="false">
      <c r="A22" s="0" t="s">
        <v>106</v>
      </c>
      <c r="B22" s="0" t="str">
        <f aca="false">Plats!I26</f>
        <v>Jour 11 Dîner – Chorba châer</v>
      </c>
      <c r="E22" s="0" t="n">
        <f aca="false">IF(A22="",0,SUMIFS('Ingrédients par plat'!$C$5:$C$596,'Ingrédients par plat'!$B$5:$B$596,A22,'Ingrédients par plat'!$I$5:$I$596,"Oui"))</f>
        <v>1600</v>
      </c>
      <c r="F22" s="0" t="n">
        <f aca="false">IF(E22&gt;0,COUNTIF(E$1:E22,"&gt;0"),"")</f>
        <v>22</v>
      </c>
    </row>
    <row r="23" customFormat="false" ht="15" hidden="false" customHeight="false" outlineLevel="0" collapsed="false">
      <c r="A23" s="0" t="s">
        <v>94</v>
      </c>
      <c r="B23" s="0" t="str">
        <f aca="false">Plats!I27</f>
        <v>Jour 12 Déjeuner – Mosli de poulet</v>
      </c>
      <c r="E23" s="0" t="n">
        <f aca="false">IF(A23="",0,SUMIFS('Ingrédients par plat'!$C$5:$C$596,'Ingrédients par plat'!$B$5:$B$596,A23,'Ingrédients par plat'!$I$5:$I$596,"Oui"))</f>
        <v>480</v>
      </c>
      <c r="F23" s="0" t="n">
        <f aca="false">IF(E23&gt;0,COUNTIF(E$1:E23,"&gt;0"),"")</f>
        <v>23</v>
      </c>
    </row>
    <row r="24" customFormat="false" ht="15" hidden="false" customHeight="false" outlineLevel="0" collapsed="false">
      <c r="A24" s="0" t="s">
        <v>107</v>
      </c>
      <c r="B24" s="0" t="str">
        <f aca="false">Plats!I28</f>
        <v>Jour 12 Dîner – Salade tunisienne + bricks aux œufs</v>
      </c>
      <c r="E24" s="0" t="n">
        <f aca="false">IF(A24="",0,SUMIFS('Ingrédients par plat'!$C$5:$C$596,'Ingrédients par plat'!$B$5:$B$596,A24,'Ingrédients par plat'!$I$5:$I$596,"Oui"))</f>
        <v>65</v>
      </c>
      <c r="F24" s="0" t="n">
        <f aca="false">IF(E24&gt;0,COUNTIF(E$1:E24,"&gt;0"),"")</f>
        <v>24</v>
      </c>
    </row>
    <row r="25" customFormat="false" ht="15" hidden="false" customHeight="false" outlineLevel="0" collapsed="false">
      <c r="A25" s="0" t="s">
        <v>150</v>
      </c>
      <c r="B25" s="0" t="str">
        <f aca="false">Plats!I29</f>
        <v>Jour 13 Déjeuner – Boulettes de poisson (hraimeh) + riz</v>
      </c>
      <c r="E25" s="0" t="n">
        <f aca="false">IF(A25="",0,SUMIFS('Ingrédients par plat'!$C$5:$C$596,'Ingrédients par plat'!$B$5:$B$596,A25,'Ingrédients par plat'!$I$5:$I$596,"Oui"))</f>
        <v>900</v>
      </c>
      <c r="F25" s="0" t="n">
        <f aca="false">IF(E25&gt;0,COUNTIF(E$1:E25,"&gt;0"),"")</f>
        <v>25</v>
      </c>
    </row>
    <row r="26" customFormat="false" ht="15" hidden="false" customHeight="false" outlineLevel="0" collapsed="false">
      <c r="A26" s="0" t="s">
        <v>139</v>
      </c>
      <c r="B26" s="0" t="str">
        <f aca="false">Plats!I30</f>
        <v>Jour 13 Dîner – Ojja aux pommes de terre</v>
      </c>
      <c r="E26" s="0" t="n">
        <f aca="false">IF(A26="",0,SUMIFS('Ingrédients par plat'!$C$5:$C$596,'Ingrédients par plat'!$B$5:$B$596,A26,'Ingrédients par plat'!$I$5:$I$596,"Oui"))</f>
        <v>1600</v>
      </c>
      <c r="F26" s="0" t="n">
        <f aca="false">IF(E26&gt;0,COUNTIF(E$1:E26,"&gt;0"),"")</f>
        <v>26</v>
      </c>
    </row>
    <row r="27" customFormat="false" ht="15" hidden="false" customHeight="false" outlineLevel="0" collapsed="false">
      <c r="A27" s="0" t="s">
        <v>138</v>
      </c>
      <c r="B27" s="0" t="str">
        <f aca="false">Plats!I31</f>
        <v>Jour 14 Déjeuner – Kefteji au four + foie</v>
      </c>
      <c r="E27" s="0" t="n">
        <f aca="false">IF(A27="",0,SUMIFS('Ingrédients par plat'!$C$5:$C$596,'Ingrédients par plat'!$B$5:$B$596,A27,'Ingrédients par plat'!$I$5:$I$596,"Oui"))</f>
        <v>4</v>
      </c>
      <c r="F27" s="0" t="n">
        <f aca="false">IF(E27&gt;0,COUNTIF(E$1:E27,"&gt;0"),"")</f>
        <v>27</v>
      </c>
    </row>
    <row r="28" customFormat="false" ht="15" hidden="false" customHeight="false" outlineLevel="0" collapsed="false">
      <c r="A28" s="0" t="s">
        <v>158</v>
      </c>
      <c r="B28" s="0" t="str">
        <f aca="false">Plats!I32</f>
        <v>Jour 14 Dîner – Chorba châer</v>
      </c>
      <c r="E28" s="0" t="n">
        <f aca="false">IF(A28="",0,SUMIFS('Ingrédients par plat'!$C$5:$C$596,'Ingrédients par plat'!$B$5:$B$596,A28,'Ingrédients par plat'!$I$5:$I$596,"Oui"))</f>
        <v>600</v>
      </c>
      <c r="F28" s="0" t="n">
        <f aca="false">IF(E28&gt;0,COUNTIF(E$1:E28,"&gt;0"),"")</f>
        <v>28</v>
      </c>
    </row>
    <row r="29" customFormat="false" ht="15" hidden="false" customHeight="false" outlineLevel="0" collapsed="false">
      <c r="A29" s="0" t="s">
        <v>128</v>
      </c>
      <c r="B29" s="0" t="str">
        <f aca="false">Plats!I33</f>
        <v>Jour 1 à 14 Dessert – Fruits de saison (1 portion par personne et par jour)</v>
      </c>
      <c r="E29" s="0" t="n">
        <f aca="false">IF(A29="",0,SUMIFS('Ingrédients par plat'!$C$5:$C$596,'Ingrédients par plat'!$B$5:$B$596,A29,'Ingrédients par plat'!$I$5:$I$596,"Oui"))</f>
        <v>700</v>
      </c>
      <c r="F29" s="0" t="n">
        <f aca="false">IF(E29&gt;0,COUNTIF(E$1:E29,"&gt;0"),"")</f>
        <v>29</v>
      </c>
    </row>
    <row r="30" customFormat="false" ht="15" hidden="false" customHeight="false" outlineLevel="0" collapsed="false">
      <c r="A30" s="0" t="s">
        <v>123</v>
      </c>
      <c r="B30" s="0" t="str">
        <f aca="false">Plats!I34</f>
        <v/>
      </c>
      <c r="E30" s="0" t="n">
        <f aca="false">IF(A30="",0,SUMIFS('Ingrédients par plat'!$C$5:$C$596,'Ingrédients par plat'!$B$5:$B$596,A30,'Ingrédients par plat'!$I$5:$I$596,"Oui"))</f>
        <v>1</v>
      </c>
      <c r="F30" s="0" t="n">
        <f aca="false">IF(E30&gt;0,COUNTIF(E$1:E30,"&gt;0"),"")</f>
        <v>30</v>
      </c>
    </row>
    <row r="31" customFormat="false" ht="15" hidden="false" customHeight="false" outlineLevel="0" collapsed="false">
      <c r="A31" s="0" t="s">
        <v>116</v>
      </c>
      <c r="B31" s="0" t="str">
        <f aca="false">Plats!I35</f>
        <v/>
      </c>
      <c r="E31" s="0" t="n">
        <f aca="false">IF(A31="",0,SUMIFS('Ingrédients par plat'!$C$5:$C$596,'Ingrédients par plat'!$B$5:$B$596,A31,'Ingrédients par plat'!$I$5:$I$596,"Oui"))</f>
        <v>5</v>
      </c>
      <c r="F31" s="0" t="n">
        <f aca="false">IF(E31&gt;0,COUNTIF(E$1:E31,"&gt;0"),"")</f>
        <v>31</v>
      </c>
    </row>
    <row r="32" customFormat="false" ht="15" hidden="false" customHeight="false" outlineLevel="0" collapsed="false">
      <c r="A32" s="0" t="s">
        <v>169</v>
      </c>
      <c r="B32" s="0" t="str">
        <f aca="false">Plats!I36</f>
        <v/>
      </c>
      <c r="E32" s="0" t="n">
        <f aca="false">IF(A32="",0,SUMIFS('Ingrédients par plat'!$C$5:$C$596,'Ingrédients par plat'!$B$5:$B$596,A32,'Ingrédients par plat'!$I$5:$I$596,"Oui"))</f>
        <v>1</v>
      </c>
      <c r="F32" s="0" t="n">
        <f aca="false">IF(E32&gt;0,COUNTIF(E$1:E32,"&gt;0"),"")</f>
        <v>32</v>
      </c>
    </row>
    <row r="33" customFormat="false" ht="15" hidden="false" customHeight="false" outlineLevel="0" collapsed="false">
      <c r="A33" s="0" t="s">
        <v>104</v>
      </c>
      <c r="B33" s="0" t="str">
        <f aca="false">Plats!I37</f>
        <v/>
      </c>
      <c r="E33" s="0" t="n">
        <f aca="false">IF(A33="",0,SUMIFS('Ingrédients par plat'!$C$5:$C$596,'Ingrédients par plat'!$B$5:$B$596,A33,'Ingrédients par plat'!$I$5:$I$596,"Oui"))</f>
        <v>1500</v>
      </c>
      <c r="F33" s="0" t="n">
        <f aca="false">IF(E33&gt;0,COUNTIF(E$1:E33,"&gt;0"),"")</f>
        <v>33</v>
      </c>
    </row>
    <row r="34" customFormat="false" ht="15" hidden="false" customHeight="false" outlineLevel="0" collapsed="false">
      <c r="A34" s="0" t="s">
        <v>177</v>
      </c>
      <c r="B34" s="0" t="str">
        <f aca="false">Plats!I38</f>
        <v/>
      </c>
      <c r="E34" s="0" t="n">
        <f aca="false">IF(A34="",0,SUMIFS('Ingrédients par plat'!$C$5:$C$596,'Ingrédients par plat'!$B$5:$B$596,A34,'Ingrédients par plat'!$I$5:$I$596,"Oui"))</f>
        <v>3000</v>
      </c>
      <c r="F34" s="0" t="n">
        <f aca="false">IF(E34&gt;0,COUNTIF(E$1:E34,"&gt;0"),"")</f>
        <v>34</v>
      </c>
    </row>
    <row r="35" customFormat="false" ht="15" hidden="false" customHeight="false" outlineLevel="0" collapsed="false">
      <c r="A35" s="0" t="s">
        <v>178</v>
      </c>
      <c r="B35" s="0" t="str">
        <f aca="false">Plats!I39</f>
        <v/>
      </c>
      <c r="E35" s="0" t="n">
        <f aca="false">IF(A35="",0,SUMIFS('Ingrédients par plat'!$C$5:$C$596,'Ingrédients par plat'!$B$5:$B$596,A35,'Ingrédients par plat'!$I$5:$I$596,"Oui"))</f>
        <v>2000</v>
      </c>
      <c r="F35" s="0" t="n">
        <f aca="false">IF(E35&gt;0,COUNTIF(E$1:E35,"&gt;0"),"")</f>
        <v>35</v>
      </c>
    </row>
    <row r="36" customFormat="false" ht="15" hidden="false" customHeight="false" outlineLevel="0" collapsed="false">
      <c r="A36" s="0" t="s">
        <v>179</v>
      </c>
      <c r="B36" s="0" t="str">
        <f aca="false">Plats!I40</f>
        <v/>
      </c>
      <c r="E36" s="0" t="n">
        <f aca="false">IF(A36="",0,SUMIFS('Ingrédients par plat'!$C$5:$C$596,'Ingrédients par plat'!$B$5:$B$596,A36,'Ingrédients par plat'!$I$5:$I$596,"Oui"))</f>
        <v>2000</v>
      </c>
      <c r="F36" s="0" t="n">
        <f aca="false">IF(E36&gt;0,COUNTIF(E$1:E36,"&gt;0"),"")</f>
        <v>36</v>
      </c>
    </row>
    <row r="37" customFormat="false" ht="15" hidden="false" customHeight="false" outlineLevel="0" collapsed="false">
      <c r="A37" s="0" t="s">
        <v>180</v>
      </c>
      <c r="B37" s="0" t="str">
        <f aca="false">Plats!I41</f>
        <v/>
      </c>
      <c r="E37" s="0" t="n">
        <f aca="false">IF(A37="",0,SUMIFS('Ingrédients par plat'!$C$5:$C$596,'Ingrédients par plat'!$B$5:$B$596,A37,'Ingrédients par plat'!$I$5:$I$596,"Oui"))</f>
        <v>2000</v>
      </c>
      <c r="F37" s="0" t="n">
        <f aca="false">IF(E37&gt;0,COUNTIF(E$1:E37,"&gt;0"),"")</f>
        <v>37</v>
      </c>
    </row>
    <row r="38" customFormat="false" ht="15" hidden="false" customHeight="false" outlineLevel="0" collapsed="false">
      <c r="A38" s="0" t="s">
        <v>181</v>
      </c>
      <c r="B38" s="0" t="str">
        <f aca="false">Plats!I42</f>
        <v/>
      </c>
      <c r="E38" s="0" t="n">
        <f aca="false">IF(A38="",0,SUMIFS('Ingrédients par plat'!$C$5:$C$596,'Ingrédients par plat'!$B$5:$B$596,A38,'Ingrédients par plat'!$I$5:$I$596,"Oui"))</f>
        <v>1000</v>
      </c>
      <c r="F38" s="0" t="n">
        <f aca="false">IF(E38&gt;0,COUNTIF(E$1:E38,"&gt;0"),"")</f>
        <v>38</v>
      </c>
    </row>
    <row r="39" customFormat="false" ht="15" hidden="false" customHeight="false" outlineLevel="0" collapsed="false">
      <c r="A39" s="0" t="s">
        <v>88</v>
      </c>
      <c r="B39" s="0" t="str">
        <f aca="false">Plats!I43</f>
        <v/>
      </c>
      <c r="E39" s="0" t="n">
        <f aca="false">IF(A39="",0,SUMIFS('Ingrédients par plat'!$C$5:$C$596,'Ingrédients par plat'!$B$5:$B$596,A39,'Ingrédients par plat'!$I$5:$I$596,"Oui"))</f>
        <v>1000</v>
      </c>
      <c r="F39" s="0" t="n">
        <f aca="false">IF(E39&gt;0,COUNTIF(E$1:E39,"&gt;0"),"")</f>
        <v>39</v>
      </c>
    </row>
    <row r="40" customFormat="false" ht="15" hidden="false" customHeight="false" outlineLevel="0" collapsed="false">
      <c r="A40" s="0" t="s">
        <v>133</v>
      </c>
      <c r="B40" s="0" t="str">
        <f aca="false">Plats!I44</f>
        <v/>
      </c>
      <c r="E40" s="0" t="n">
        <f aca="false">IF(A40="",0,SUMIFS('Ingrédients par plat'!$C$5:$C$596,'Ingrédients par plat'!$B$5:$B$596,A40,'Ingrédients par plat'!$I$5:$I$596,"Oui"))</f>
        <v>800</v>
      </c>
      <c r="F40" s="0" t="n">
        <f aca="false">IF(E40&gt;0,COUNTIF(E$1:E40,"&gt;0"),"")</f>
        <v>40</v>
      </c>
    </row>
    <row r="41" customFormat="false" ht="15" hidden="false" customHeight="false" outlineLevel="0" collapsed="false">
      <c r="A41" s="0" t="s">
        <v>156</v>
      </c>
      <c r="B41" s="0" t="str">
        <f aca="false">Plats!I45</f>
        <v/>
      </c>
      <c r="E41" s="0" t="n">
        <f aca="false">IF(A41="",0,SUMIFS('Ingrédients par plat'!$C$5:$C$596,'Ingrédients par plat'!$B$5:$B$596,A41,'Ingrédients par plat'!$I$5:$I$596,"Oui"))</f>
        <v>650</v>
      </c>
      <c r="F41" s="0" t="n">
        <f aca="false">IF(E41&gt;0,COUNTIF(E$1:E41,"&gt;0"),"")</f>
        <v>41</v>
      </c>
    </row>
    <row r="42" customFormat="false" ht="15" hidden="false" customHeight="false" outlineLevel="0" collapsed="false">
      <c r="A42" s="0" t="s">
        <v>167</v>
      </c>
      <c r="B42" s="0" t="str">
        <f aca="false">Plats!I46</f>
        <v/>
      </c>
      <c r="E42" s="0" t="n">
        <f aca="false">IF(A42="",0,SUMIFS('Ingrédients par plat'!$C$5:$C$596,'Ingrédients par plat'!$B$5:$B$596,A42,'Ingrédients par plat'!$I$5:$I$596,"Oui"))</f>
        <v>300</v>
      </c>
      <c r="F42" s="0" t="n">
        <f aca="false">IF(E42&gt;0,COUNTIF(E$1:E42,"&gt;0"),"")</f>
        <v>42</v>
      </c>
    </row>
    <row r="43" customFormat="false" ht="15" hidden="false" customHeight="false" outlineLevel="0" collapsed="false">
      <c r="A43" s="0" t="s">
        <v>56</v>
      </c>
      <c r="B43" s="0" t="str">
        <f aca="false">Plats!I47</f>
        <v/>
      </c>
      <c r="E43" s="0" t="n">
        <f aca="false">IF(A43="",0,SUMIFS('Ingrédients par plat'!$C$5:$C$596,'Ingrédients par plat'!$B$5:$B$596,A43,'Ingrédients par plat'!$I$5:$I$596,"Oui"))</f>
        <v>250</v>
      </c>
      <c r="F43" s="0" t="n">
        <f aca="false">IF(E43&gt;0,COUNTIF(E$1:E43,"&gt;0"),"")</f>
        <v>43</v>
      </c>
    </row>
    <row r="44" customFormat="false" ht="15" hidden="false" customHeight="false" outlineLevel="0" collapsed="false">
      <c r="A44" s="0" t="s">
        <v>120</v>
      </c>
      <c r="B44" s="0" t="str">
        <f aca="false">Plats!I48</f>
        <v/>
      </c>
      <c r="E44" s="0" t="n">
        <f aca="false">IF(A44="",0,SUMIFS('Ingrédients par plat'!$C$5:$C$596,'Ingrédients par plat'!$B$5:$B$596,A44,'Ingrédients par plat'!$I$5:$I$596,"Oui"))</f>
        <v>150</v>
      </c>
      <c r="F44" s="0" t="n">
        <f aca="false">IF(E44&gt;0,COUNTIF(E$1:E44,"&gt;0"),"")</f>
        <v>44</v>
      </c>
    </row>
    <row r="45" customFormat="false" ht="15" hidden="false" customHeight="false" outlineLevel="0" collapsed="false">
      <c r="A45" s="0" t="s">
        <v>145</v>
      </c>
      <c r="E45" s="0" t="n">
        <f aca="false">IF(A45="",0,SUMIFS('Ingrédients par plat'!$C$5:$C$596,'Ingrédients par plat'!$B$5:$B$596,A45,'Ingrédients par plat'!$I$5:$I$596,"Oui"))</f>
        <v>120</v>
      </c>
      <c r="F45" s="0" t="n">
        <f aca="false">IF(E45&gt;0,COUNTIF(E$1:E45,"&gt;0"),"")</f>
        <v>45</v>
      </c>
    </row>
    <row r="46" customFormat="false" ht="15" hidden="false" customHeight="false" outlineLevel="0" collapsed="false">
      <c r="A46" s="0" t="s">
        <v>122</v>
      </c>
      <c r="E46" s="0" t="n">
        <f aca="false">IF(A46="",0,SUMIFS('Ingrédients par plat'!$C$5:$C$596,'Ingrédients par plat'!$B$5:$B$596,A46,'Ingrédients par plat'!$I$5:$I$596,"Oui"))</f>
        <v>350</v>
      </c>
      <c r="F46" s="0" t="n">
        <f aca="false">IF(E46&gt;0,COUNTIF(E$1:E46,"&gt;0"),"")</f>
        <v>46</v>
      </c>
    </row>
    <row r="47" customFormat="false" ht="15" hidden="false" customHeight="false" outlineLevel="0" collapsed="false">
      <c r="A47" s="0" t="s">
        <v>148</v>
      </c>
      <c r="E47" s="0" t="n">
        <f aca="false">IF(A47="",0,SUMIFS('Ingrédients par plat'!$C$5:$C$596,'Ingrédients par plat'!$B$5:$B$596,A47,'Ingrédients par plat'!$I$5:$I$596,"Oui"))</f>
        <v>300</v>
      </c>
      <c r="F47" s="0" t="n">
        <f aca="false">IF(E47&gt;0,COUNTIF(E$1:E47,"&gt;0"),"")</f>
        <v>47</v>
      </c>
    </row>
    <row r="48" customFormat="false" ht="15" hidden="false" customHeight="false" outlineLevel="0" collapsed="false">
      <c r="A48" s="0" t="s">
        <v>136</v>
      </c>
      <c r="E48" s="0" t="n">
        <f aca="false">IF(A48="",0,SUMIFS('Ingrédients par plat'!$C$5:$C$596,'Ingrédients par plat'!$B$5:$B$596,A48,'Ingrédients par plat'!$I$5:$I$596,"Oui"))</f>
        <v>1.75</v>
      </c>
      <c r="F48" s="0" t="n">
        <f aca="false">IF(E48&gt;0,COUNTIF(E$1:E48,"&gt;0"),"")</f>
        <v>48</v>
      </c>
    </row>
    <row r="49" customFormat="false" ht="15" hidden="false" customHeight="false" outlineLevel="0" collapsed="false">
      <c r="A49" s="0" t="s">
        <v>111</v>
      </c>
      <c r="E49" s="0" t="n">
        <f aca="false">IF(A49="",0,SUMIFS('Ingrédients par plat'!$C$5:$C$596,'Ingrédients par plat'!$B$5:$B$596,A49,'Ingrédients par plat'!$I$5:$I$596,"Oui"))</f>
        <v>500</v>
      </c>
      <c r="F49" s="0" t="n">
        <f aca="false">IF(E49&gt;0,COUNTIF(E$1:E49,"&gt;0"),"")</f>
        <v>49</v>
      </c>
    </row>
    <row r="50" customFormat="false" ht="15" hidden="false" customHeight="false" outlineLevel="0" collapsed="false">
      <c r="A50" s="0" t="s">
        <v>112</v>
      </c>
      <c r="E50" s="0" t="n">
        <f aca="false">IF(A50="",0,SUMIFS('Ingrédients par plat'!$C$5:$C$596,'Ingrédients par plat'!$B$5:$B$596,A50,'Ingrédients par plat'!$I$5:$I$596,"Oui"))</f>
        <v>1</v>
      </c>
      <c r="F50" s="0" t="n">
        <f aca="false">IF(E50&gt;0,COUNTIF(E$1:E50,"&gt;0"),"")</f>
        <v>50</v>
      </c>
    </row>
    <row r="51" customFormat="false" ht="15" hidden="false" customHeight="false" outlineLevel="0" collapsed="false">
      <c r="A51" s="0" t="s">
        <v>160</v>
      </c>
      <c r="E51" s="0" t="n">
        <f aca="false">IF(A51="",0,SUMIFS('Ingrédients par plat'!$C$5:$C$596,'Ingrédients par plat'!$B$5:$B$596,A51,'Ingrédients par plat'!$I$5:$I$596,"Oui"))</f>
        <v>60</v>
      </c>
      <c r="F51" s="0" t="n">
        <f aca="false">IF(E51&gt;0,COUNTIF(E$1:E51,"&gt;0"),"")</f>
        <v>51</v>
      </c>
    </row>
    <row r="52" customFormat="false" ht="15" hidden="false" customHeight="false" outlineLevel="0" collapsed="false">
      <c r="A52" s="0" t="s">
        <v>131</v>
      </c>
      <c r="E52" s="0" t="n">
        <f aca="false">IF(A52="",0,SUMIFS('Ingrédients par plat'!$C$5:$C$596,'Ingrédients par plat'!$B$5:$B$596,A52,'Ingrédients par plat'!$I$5:$I$596,"Oui"))</f>
        <v>4</v>
      </c>
      <c r="F52" s="0" t="n">
        <f aca="false">IF(E52&gt;0,COUNTIF(E$1:E52,"&gt;0"),"")</f>
        <v>52</v>
      </c>
    </row>
    <row r="53" customFormat="false" ht="15" hidden="false" customHeight="false" outlineLevel="0" collapsed="false">
      <c r="A53" s="0" t="s">
        <v>141</v>
      </c>
      <c r="E53" s="0" t="n">
        <f aca="false">IF(A53="",0,SUMIFS('Ingrédients par plat'!$C$5:$C$596,'Ingrédients par plat'!$B$5:$B$596,A53,'Ingrédients par plat'!$I$5:$I$596,"Oui"))</f>
        <v>100</v>
      </c>
      <c r="F53" s="0" t="n">
        <f aca="false">IF(E53&gt;0,COUNTIF(E$1:E53,"&gt;0"),"")</f>
        <v>53</v>
      </c>
    </row>
    <row r="54" customFormat="false" ht="15" hidden="false" customHeight="false" outlineLevel="0" collapsed="false">
      <c r="A54" s="0" t="s">
        <v>101</v>
      </c>
      <c r="E54" s="0" t="n">
        <f aca="false">IF(A54="",0,SUMIFS('Ingrédients par plat'!$C$5:$C$596,'Ingrédients par plat'!$B$5:$B$596,A54,'Ingrédients par plat'!$I$5:$I$596,"Oui"))</f>
        <v>2270</v>
      </c>
      <c r="F54" s="0" t="n">
        <f aca="false">IF(E54&gt;0,COUNTIF(E$1:E54,"&gt;0"),"")</f>
        <v>54</v>
      </c>
    </row>
    <row r="55" customFormat="false" ht="15" hidden="false" customHeight="false" outlineLevel="0" collapsed="false">
      <c r="A55" s="0" t="s">
        <v>118</v>
      </c>
      <c r="E55" s="0" t="n">
        <f aca="false">IF(A55="",0,SUMIFS('Ingrédients par plat'!$C$5:$C$596,'Ingrédients par plat'!$B$5:$B$596,A55,'Ingrédients par plat'!$I$5:$I$596,"Oui"))</f>
        <v>3200</v>
      </c>
      <c r="F55" s="0" t="n">
        <f aca="false">IF(E55&gt;0,COUNTIF(E$1:E55,"&gt;0"),"")</f>
        <v>55</v>
      </c>
    </row>
    <row r="56" customFormat="false" ht="15" hidden="false" customHeight="false" outlineLevel="0" collapsed="false">
      <c r="A56" s="0" t="s">
        <v>95</v>
      </c>
      <c r="E56" s="0" t="n">
        <f aca="false">IF(A56="",0,SUMIFS('Ingrédients par plat'!$C$5:$C$596,'Ingrédients par plat'!$B$5:$B$596,A56,'Ingrédients par plat'!$I$5:$I$596,"Oui"))</f>
        <v>600</v>
      </c>
      <c r="F56" s="0" t="n">
        <f aca="false">IF(E56&gt;0,COUNTIF(E$1:E56,"&gt;0"),"")</f>
        <v>56</v>
      </c>
    </row>
    <row r="57" customFormat="false" ht="15" hidden="false" customHeight="false" outlineLevel="0" collapsed="false">
      <c r="A57" s="0" t="s">
        <v>96</v>
      </c>
      <c r="E57" s="0" t="n">
        <f aca="false">IF(A57="",0,SUMIFS('Ingrédients par plat'!$C$5:$C$596,'Ingrédients par plat'!$B$5:$B$596,A57,'Ingrédients par plat'!$I$5:$I$596,"Oui"))</f>
        <v>173</v>
      </c>
      <c r="F57" s="0" t="n">
        <f aca="false">IF(E57&gt;0,COUNTIF(E$1:E57,"&gt;0"),"")</f>
        <v>57</v>
      </c>
    </row>
    <row r="58" customFormat="false" ht="15" hidden="false" customHeight="false" outlineLevel="0" collapsed="false">
      <c r="A58" s="0" t="s">
        <v>117</v>
      </c>
      <c r="E58" s="0" t="n">
        <f aca="false">IF(A58="",0,SUMIFS('Ingrédients par plat'!$C$5:$C$596,'Ingrédients par plat'!$B$5:$B$596,A58,'Ingrédients par plat'!$I$5:$I$596,"Oui"))</f>
        <v>46</v>
      </c>
      <c r="F58" s="0" t="n">
        <f aca="false">IF(E58&gt;0,COUNTIF(E$1:E58,"&gt;0"),"")</f>
        <v>58</v>
      </c>
    </row>
    <row r="59" customFormat="false" ht="15" hidden="false" customHeight="false" outlineLevel="0" collapsed="false">
      <c r="A59" s="0" t="s">
        <v>98</v>
      </c>
      <c r="E59" s="0" t="n">
        <f aca="false">IF(A59="",0,SUMIFS('Ingrédients par plat'!$C$5:$C$596,'Ingrédients par plat'!$B$5:$B$596,A59,'Ingrédients par plat'!$I$5:$I$596,"Oui"))</f>
        <v>30</v>
      </c>
      <c r="F59" s="0" t="n">
        <f aca="false">IF(E59&gt;0,COUNTIF(E$1:E59,"&gt;0"),"")</f>
        <v>59</v>
      </c>
    </row>
    <row r="60" customFormat="false" ht="15" hidden="false" customHeight="false" outlineLevel="0" collapsed="false">
      <c r="A60" s="0" t="s">
        <v>124</v>
      </c>
      <c r="E60" s="0" t="n">
        <f aca="false">IF(A60="",0,SUMIFS('Ingrédients par plat'!$C$5:$C$596,'Ingrédients par plat'!$B$5:$B$596,A60,'Ingrédients par plat'!$I$5:$I$596,"Oui"))</f>
        <v>22.5</v>
      </c>
      <c r="F60" s="0" t="n">
        <f aca="false">IF(E60&gt;0,COUNTIF(E$1:E60,"&gt;0"),"")</f>
        <v>60</v>
      </c>
    </row>
    <row r="61" customFormat="false" ht="15" hidden="false" customHeight="false" outlineLevel="0" collapsed="false">
      <c r="A61" s="0" t="s">
        <v>99</v>
      </c>
      <c r="E61" s="0" t="n">
        <f aca="false">IF(A61="",0,SUMIFS('Ingrédients par plat'!$C$5:$C$596,'Ingrédients par plat'!$B$5:$B$596,A61,'Ingrédients par plat'!$I$5:$I$596,"Oui"))</f>
        <v>18</v>
      </c>
      <c r="F61" s="0" t="n">
        <f aca="false">IF(E61&gt;0,COUNTIF(E$1:E61,"&gt;0"),"")</f>
        <v>61</v>
      </c>
    </row>
    <row r="62" customFormat="false" ht="15" hidden="false" customHeight="false" outlineLevel="0" collapsed="false">
      <c r="A62" s="0" t="s">
        <v>125</v>
      </c>
      <c r="E62" s="0" t="n">
        <f aca="false">IF(A62="",0,SUMIFS('Ingrédients par plat'!$C$5:$C$596,'Ingrédients par plat'!$B$5:$B$596,A62,'Ingrédients par plat'!$I$5:$I$596,"Oui"))</f>
        <v>7</v>
      </c>
      <c r="F62" s="0" t="n">
        <f aca="false">IF(E62&gt;0,COUNTIF(E$1:E62,"&gt;0"),"")</f>
        <v>62</v>
      </c>
    </row>
    <row r="63" customFormat="false" ht="15" hidden="false" customHeight="false" outlineLevel="0" collapsed="false">
      <c r="A63" s="0" t="s">
        <v>100</v>
      </c>
      <c r="E63" s="0" t="n">
        <f aca="false">IF(A63="",0,SUMIFS('Ingrédients par plat'!$C$5:$C$596,'Ingrédients par plat'!$B$5:$B$596,A63,'Ingrédients par plat'!$I$5:$I$596,"Oui"))</f>
        <v>6</v>
      </c>
      <c r="F63" s="0" t="n">
        <f aca="false">IF(E63&gt;0,COUNTIF(E$1:E63,"&gt;0"),"")</f>
        <v>63</v>
      </c>
    </row>
    <row r="64" customFormat="false" ht="15" hidden="false" customHeight="false" outlineLevel="0" collapsed="false">
      <c r="A64" s="0" t="s">
        <v>143</v>
      </c>
      <c r="E64" s="0" t="n">
        <f aca="false">IF(A64="",0,SUMIFS('Ingrédients par plat'!$C$5:$C$596,'Ingrédients par plat'!$B$5:$B$596,A64,'Ingrédients par plat'!$I$5:$I$596,"Oui"))</f>
        <v>1</v>
      </c>
      <c r="F64" s="0" t="n">
        <f aca="false">IF(E64&gt;0,COUNTIF(E$1:E64,"&gt;0"),"")</f>
        <v>64</v>
      </c>
    </row>
    <row r="65" customFormat="false" ht="15" hidden="false" customHeight="false" outlineLevel="0" collapsed="false">
      <c r="A65" s="0" t="s">
        <v>137</v>
      </c>
      <c r="E65" s="0" t="n">
        <f aca="false">IF(A65="",0,SUMIFS('Ingrédients par plat'!$C$5:$C$596,'Ingrédients par plat'!$B$5:$B$596,A65,'Ingrédients par plat'!$I$5:$I$596,"Oui"))</f>
        <v>10</v>
      </c>
      <c r="F65" s="0" t="n">
        <f aca="false">IF(E65&gt;0,COUNTIF(E$1:E65,"&gt;0"),"")</f>
        <v>65</v>
      </c>
    </row>
    <row r="66" customFormat="false" ht="15" hidden="false" customHeight="false" outlineLevel="0" collapsed="false">
      <c r="A66" s="0" t="s">
        <v>102</v>
      </c>
      <c r="E66" s="0" t="n">
        <f aca="false">IF(A66="",0,SUMIFS('Ingrédients par plat'!$C$5:$C$596,'Ingrédients par plat'!$B$5:$B$596,A66,'Ingrédients par plat'!$I$5:$I$596,"Oui"))</f>
        <v>252</v>
      </c>
      <c r="F66" s="0" t="n">
        <f aca="false">IF(E66&gt;0,COUNTIF(E$1:E66,"&gt;0"),"")</f>
        <v>66</v>
      </c>
    </row>
    <row r="67" customFormat="false" ht="15" hidden="false" customHeight="false" outlineLevel="0" collapsed="false">
      <c r="A67" s="0" t="s">
        <v>103</v>
      </c>
      <c r="E67" s="0" t="n">
        <f aca="false">IF(A67="",0,SUMIFS('Ingrédients par plat'!$C$5:$C$596,'Ingrédients par plat'!$B$5:$B$596,A67,'Ingrédients par plat'!$I$5:$I$596,"Oui"))</f>
        <v>29.5</v>
      </c>
      <c r="F67" s="0" t="n">
        <f aca="false">IF(E67&gt;0,COUNTIF(E$1:E67,"&gt;0"),"")</f>
        <v>67</v>
      </c>
    </row>
    <row r="68" customFormat="false" ht="15" hidden="false" customHeight="false" outlineLevel="0" collapsed="false">
      <c r="A68" s="0" t="str">
        <f aca="false">IF('Liste des ingrédients'!B83="","",'Liste des ingrédients'!B83)</f>
        <v/>
      </c>
      <c r="E68" s="0" t="n">
        <f aca="false">IF(A68="",0,SUMIFS('Ingrédients par plat'!$C$5:$C$596,'Ingrédients par plat'!$B$5:$B$596,A68,'Ingrédients par plat'!$I$5:$I$596,"Oui"))</f>
        <v>0</v>
      </c>
      <c r="F68" s="0" t="str">
        <f aca="false">IF(E68&gt;0,COUNTIF(E$1:E68,"&gt;0"),"")</f>
        <v/>
      </c>
    </row>
    <row r="69" customFormat="false" ht="15" hidden="false" customHeight="false" outlineLevel="0" collapsed="false">
      <c r="A69" s="0" t="str">
        <f aca="false">IF('Liste des ingrédients'!B84="","",'Liste des ingrédients'!B84)</f>
        <v/>
      </c>
      <c r="E69" s="0" t="n">
        <f aca="false">IF(A69="",0,SUMIFS('Ingrédients par plat'!$C$5:$C$596,'Ingrédients par plat'!$B$5:$B$596,A69,'Ingrédients par plat'!$I$5:$I$596,"Oui"))</f>
        <v>0</v>
      </c>
      <c r="F69" s="0" t="str">
        <f aca="false">IF(E69&gt;0,COUNTIF(E$1:E69,"&gt;0"),"")</f>
        <v/>
      </c>
    </row>
    <row r="70" customFormat="false" ht="15" hidden="false" customHeight="false" outlineLevel="0" collapsed="false">
      <c r="A70" s="0" t="str">
        <f aca="false">IF('Liste des ingrédients'!B85="","",'Liste des ingrédients'!B85)</f>
        <v/>
      </c>
      <c r="E70" s="0" t="n">
        <f aca="false">IF(A70="",0,SUMIFS('Ingrédients par plat'!$C$5:$C$596,'Ingrédients par plat'!$B$5:$B$596,A70,'Ingrédients par plat'!$I$5:$I$596,"Oui"))</f>
        <v>0</v>
      </c>
      <c r="F70" s="0" t="str">
        <f aca="false">IF(E70&gt;0,COUNTIF(E$1:E70,"&gt;0"),"")</f>
        <v/>
      </c>
    </row>
    <row r="71" customFormat="false" ht="15" hidden="false" customHeight="false" outlineLevel="0" collapsed="false">
      <c r="A71" s="0" t="str">
        <f aca="false">IF('Liste des ingrédients'!B86="","",'Liste des ingrédients'!B86)</f>
        <v/>
      </c>
      <c r="E71" s="0" t="n">
        <f aca="false">IF(A71="",0,SUMIFS('Ingrédients par plat'!$C$5:$C$596,'Ingrédients par plat'!$B$5:$B$596,A71,'Ingrédients par plat'!$I$5:$I$596,"Oui"))</f>
        <v>0</v>
      </c>
      <c r="F71" s="0" t="str">
        <f aca="false">IF(E71&gt;0,COUNTIF(E$1:E71,"&gt;0"),"")</f>
        <v/>
      </c>
    </row>
    <row r="72" customFormat="false" ht="15" hidden="false" customHeight="false" outlineLevel="0" collapsed="false">
      <c r="A72" s="0" t="str">
        <f aca="false">IF('Liste des ingrédients'!B87="","",'Liste des ingrédients'!B87)</f>
        <v/>
      </c>
      <c r="E72" s="0" t="n">
        <f aca="false">IF(A72="",0,SUMIFS('Ingrédients par plat'!$C$5:$C$596,'Ingrédients par plat'!$B$5:$B$596,A72,'Ingrédients par plat'!$I$5:$I$596,"Oui"))</f>
        <v>0</v>
      </c>
      <c r="F72" s="0" t="str">
        <f aca="false">IF(E72&gt;0,COUNTIF(E$1:E72,"&gt;0"),"")</f>
        <v/>
      </c>
    </row>
    <row r="73" customFormat="false" ht="15" hidden="false" customHeight="false" outlineLevel="0" collapsed="false">
      <c r="A73" s="0" t="str">
        <f aca="false">IF('Liste des ingrédients'!B88="","",'Liste des ingrédients'!B88)</f>
        <v/>
      </c>
      <c r="E73" s="0" t="n">
        <f aca="false">IF(A73="",0,SUMIFS('Ingrédients par plat'!$C$5:$C$596,'Ingrédients par plat'!$B$5:$B$596,A73,'Ingrédients par plat'!$I$5:$I$596,"Oui"))</f>
        <v>0</v>
      </c>
      <c r="F73" s="0" t="str">
        <f aca="false">IF(E73&gt;0,COUNTIF(E$1:E73,"&gt;0"),"")</f>
        <v/>
      </c>
    </row>
    <row r="74" customFormat="false" ht="15" hidden="false" customHeight="false" outlineLevel="0" collapsed="false">
      <c r="A74" s="0" t="str">
        <f aca="false">IF('Liste des ingrédients'!B89="","",'Liste des ingrédients'!B89)</f>
        <v/>
      </c>
      <c r="E74" s="0" t="n">
        <f aca="false">IF(A74="",0,SUMIFS('Ingrédients par plat'!$C$5:$C$596,'Ingrédients par plat'!$B$5:$B$596,A74,'Ingrédients par plat'!$I$5:$I$596,"Oui"))</f>
        <v>0</v>
      </c>
      <c r="F74" s="0" t="str">
        <f aca="false">IF(E74&gt;0,COUNTIF(E$1:E74,"&gt;0"),"")</f>
        <v/>
      </c>
    </row>
    <row r="75" customFormat="false" ht="15" hidden="false" customHeight="false" outlineLevel="0" collapsed="false">
      <c r="A75" s="0" t="str">
        <f aca="false">IF('Liste des ingrédients'!B90="","",'Liste des ingrédients'!B90)</f>
        <v/>
      </c>
      <c r="E75" s="0" t="n">
        <f aca="false">IF(A75="",0,SUMIFS('Ingrédients par plat'!$C$5:$C$596,'Ingrédients par plat'!$B$5:$B$596,A75,'Ingrédients par plat'!$I$5:$I$596,"Oui"))</f>
        <v>0</v>
      </c>
      <c r="F75" s="0" t="str">
        <f aca="false">IF(E75&gt;0,COUNTIF(E$1:E75,"&gt;0"),"")</f>
        <v/>
      </c>
    </row>
    <row r="76" customFormat="false" ht="15" hidden="false" customHeight="false" outlineLevel="0" collapsed="false">
      <c r="A76" s="0" t="str">
        <f aca="false">IF('Liste des ingrédients'!B91="","",'Liste des ingrédients'!B91)</f>
        <v/>
      </c>
      <c r="E76" s="0" t="n">
        <f aca="false">IF(A76="",0,SUMIFS('Ingrédients par plat'!$C$5:$C$596,'Ingrédients par plat'!$B$5:$B$596,A76,'Ingrédients par plat'!$I$5:$I$596,"Oui"))</f>
        <v>0</v>
      </c>
      <c r="F76" s="0" t="str">
        <f aca="false">IF(E76&gt;0,COUNTIF(E$1:E76,"&gt;0"),"")</f>
        <v/>
      </c>
    </row>
    <row r="77" customFormat="false" ht="15" hidden="false" customHeight="false" outlineLevel="0" collapsed="false">
      <c r="A77" s="0" t="str">
        <f aca="false">IF('Liste des ingrédients'!B92="","",'Liste des ingrédients'!B92)</f>
        <v/>
      </c>
      <c r="E77" s="0" t="n">
        <f aca="false">IF(A77="",0,SUMIFS('Ingrédients par plat'!$C$5:$C$596,'Ingrédients par plat'!$B$5:$B$596,A77,'Ingrédients par plat'!$I$5:$I$596,"Oui"))</f>
        <v>0</v>
      </c>
      <c r="F77" s="0" t="str">
        <f aca="false">IF(E77&gt;0,COUNTIF(E$1:E77,"&gt;0"),"")</f>
        <v/>
      </c>
    </row>
    <row r="78" customFormat="false" ht="15" hidden="false" customHeight="false" outlineLevel="0" collapsed="false">
      <c r="A78" s="0" t="str">
        <f aca="false">IF('Liste des ingrédients'!B93="","",'Liste des ingrédients'!B93)</f>
        <v/>
      </c>
      <c r="E78" s="0" t="n">
        <f aca="false">IF(A78="",0,SUMIFS('Ingrédients par plat'!$C$5:$C$596,'Ingrédients par plat'!$B$5:$B$596,A78,'Ingrédients par plat'!$I$5:$I$596,"Oui"))</f>
        <v>0</v>
      </c>
      <c r="F78" s="0" t="str">
        <f aca="false">IF(E78&gt;0,COUNTIF(E$1:E78,"&gt;0"),"")</f>
        <v/>
      </c>
    </row>
    <row r="79" customFormat="false" ht="15" hidden="false" customHeight="false" outlineLevel="0" collapsed="false">
      <c r="A79" s="0" t="str">
        <f aca="false">IF('Liste des ingrédients'!B94="","",'Liste des ingrédients'!B94)</f>
        <v/>
      </c>
      <c r="E79" s="0" t="n">
        <f aca="false">IF(A79="",0,SUMIFS('Ingrédients par plat'!$C$5:$C$596,'Ingrédients par plat'!$B$5:$B$596,A79,'Ingrédients par plat'!$I$5:$I$596,"Oui"))</f>
        <v>0</v>
      </c>
      <c r="F79" s="0" t="str">
        <f aca="false">IF(E79&gt;0,COUNTIF(E$1:E79,"&gt;0"),"")</f>
        <v/>
      </c>
    </row>
    <row r="80" customFormat="false" ht="15" hidden="false" customHeight="false" outlineLevel="0" collapsed="false">
      <c r="A80" s="0" t="str">
        <f aca="false">IF('Liste des ingrédients'!B95="","",'Liste des ingrédients'!B95)</f>
        <v/>
      </c>
      <c r="E80" s="0" t="n">
        <f aca="false">IF(A80="",0,SUMIFS('Ingrédients par plat'!$C$5:$C$596,'Ingrédients par plat'!$B$5:$B$596,A80,'Ingrédients par plat'!$I$5:$I$596,"Oui"))</f>
        <v>0</v>
      </c>
      <c r="F80" s="0" t="str">
        <f aca="false">IF(E80&gt;0,COUNTIF(E$1:E80,"&gt;0"),"")</f>
        <v/>
      </c>
    </row>
    <row r="81" customFormat="false" ht="15" hidden="false" customHeight="false" outlineLevel="0" collapsed="false">
      <c r="A81" s="0" t="str">
        <f aca="false">IF('Liste des ingrédients'!B96="","",'Liste des ingrédients'!B96)</f>
        <v/>
      </c>
      <c r="E81" s="0" t="n">
        <f aca="false">IF(A81="",0,SUMIFS('Ingrédients par plat'!$C$5:$C$596,'Ingrédients par plat'!$B$5:$B$596,A81,'Ingrédients par plat'!$I$5:$I$596,"Oui"))</f>
        <v>0</v>
      </c>
      <c r="F81" s="0" t="str">
        <f aca="false">IF(E81&gt;0,COUNTIF(E$1:E81,"&gt;0"),"")</f>
        <v/>
      </c>
    </row>
    <row r="82" customFormat="false" ht="15" hidden="false" customHeight="false" outlineLevel="0" collapsed="false">
      <c r="A82" s="0" t="str">
        <f aca="false">IF('Liste des ingrédients'!B97="","",'Liste des ingrédients'!B97)</f>
        <v/>
      </c>
      <c r="E82" s="0" t="n">
        <f aca="false">IF(A82="",0,SUMIFS('Ingrédients par plat'!$C$5:$C$596,'Ingrédients par plat'!$B$5:$B$596,A82,'Ingrédients par plat'!$I$5:$I$596,"Oui"))</f>
        <v>0</v>
      </c>
      <c r="F82" s="0" t="str">
        <f aca="false">IF(E82&gt;0,COUNTIF(E$1:E82,"&gt;0"),"")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2026-10-26T15:48:00Z</dcterms:created>
  <dc:creator>openpyxl</dc:creator>
  <dc:description/>
  <dc:language>en-US</dc:language>
  <cp:lastModifiedBy/>
  <dcterms:modified xsi:type="dcterms:W3CDTF">2026-10-26T15:48:02Z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